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Pivot1" sheetId="2" r:id="rId1"/>
    <sheet name="Pivot2" sheetId="3" r:id="rId2"/>
    <sheet name="Pivot3" sheetId="6" r:id="rId3"/>
    <sheet name="Pivot4" sheetId="7" r:id="rId4"/>
    <sheet name="MOCK_DATA (1)_LZitlc" sheetId="1" r:id="rId5"/>
  </sheets>
  <definedNames>
    <definedName name="_xlnm._FilterDatabase" localSheetId="4" hidden="1">'MOCK_DATA (1)_LZitlc'!$A$1:$F$1001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<sst xmlns="http://schemas.openxmlformats.org/spreadsheetml/2006/main" count="2048" uniqueCount="30">
  <si>
    <t>Region</t>
  </si>
  <si>
    <t>Sum of Estimated_Budget($)</t>
  </si>
  <si>
    <t>Sum of Actual_Spend</t>
  </si>
  <si>
    <t>Sum of Budget_Varience</t>
  </si>
  <si>
    <t>East</t>
  </si>
  <si>
    <t>N/A</t>
  </si>
  <si>
    <t>North</t>
  </si>
  <si>
    <t>South</t>
  </si>
  <si>
    <t>West</t>
  </si>
  <si>
    <t>Grand Total</t>
  </si>
  <si>
    <t>Material_Delay_Flag</t>
  </si>
  <si>
    <t>Average of Target_Days</t>
  </si>
  <si>
    <t>Average of Actual_Days</t>
  </si>
  <si>
    <t>No</t>
  </si>
  <si>
    <t>Yes</t>
  </si>
  <si>
    <t>Count of Project_ID</t>
  </si>
  <si>
    <t>Project_ID</t>
  </si>
  <si>
    <t>Project_Name</t>
  </si>
  <si>
    <t>Estimated_Budget($)</t>
  </si>
  <si>
    <t>Target_Days</t>
  </si>
  <si>
    <t>Actual_Spend</t>
  </si>
  <si>
    <t>Actual_Days</t>
  </si>
  <si>
    <t>Index</t>
  </si>
  <si>
    <t>Project_Name1</t>
  </si>
  <si>
    <t>National Highway Expansion</t>
  </si>
  <si>
    <t>Metro Corridor Extension</t>
  </si>
  <si>
    <t>Smart Grid Substation</t>
  </si>
  <si>
    <t>Elevated Flyover Construction</t>
  </si>
  <si>
    <t>Solar Power Plant Setup</t>
  </si>
  <si>
    <t>Water Treatment Pipeline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</si>
</sst>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numFmt numFmtId="179" formatCode="0_ "/>
    </dxf>
    <dxf>
      <numFmt numFmtId="180" formatCode="0.000000_ "/>
    </dxf>
    <dxf>
      <numFmt numFmtId="181" formatCode="0.00000_ "/>
    </dxf>
    <dxf>
      <numFmt numFmtId="182" formatCode="0.0000_ "/>
    </dxf>
    <dxf>
      <numFmt numFmtId="183" formatCode="0.000_ "/>
    </dxf>
    <dxf>
      <numFmt numFmtId="184" formatCode="0.00_ "/>
    </dxf>
    <dxf>
      <numFmt numFmtId="185" formatCode="0.0_ "/>
    </dxf>
    <dxf>
      <numFmt numFmtId="179" formatCode="0_ "/>
    </dxf>
    <dxf>
      <numFmt numFmtId="186" formatCode="0.000000_ "/>
    </dxf>
    <dxf>
      <numFmt numFmtId="187" formatCode="0.00000_ "/>
    </dxf>
    <dxf>
      <numFmt numFmtId="188" formatCode="0.0000_ "/>
    </dxf>
    <dxf>
      <numFmt numFmtId="189" formatCode="0.000_ "/>
    </dxf>
    <dxf>
      <numFmt numFmtId="190" formatCode="0.00_ "/>
    </dxf>
    <dxf>
      <numFmt numFmtId="191" formatCode="0.0_ "/>
    </dxf>
    <dxf>
      <numFmt numFmtId="179" formatCode="0_ "/>
    </dxf>
    <dxf>
      <numFmt numFmtId="192" formatCode="0.0%"/>
    </dxf>
    <dxf>
      <numFmt numFmtId="9" formatCode="0%"/>
    </dxf>
    <dxf>
      <numFmt numFmtId="193" formatCode="0.00000_ "/>
    </dxf>
    <dxf>
      <numFmt numFmtId="194" formatCode="0.0000_ "/>
    </dxf>
    <dxf>
      <numFmt numFmtId="195" formatCode="0.000_ "/>
    </dxf>
    <dxf>
      <numFmt numFmtId="196" formatCode="0.00_ "/>
    </dxf>
    <dxf>
      <numFmt numFmtId="197" formatCode="0.0_ "/>
    </dxf>
    <dxf>
      <numFmt numFmtId="179" formatCode="0_ "/>
    </dxf>
    <dxf>
      <numFmt numFmtId="0" formatCode="General"/>
    </dxf>
    <dxf>
      <numFmt numFmtId="178" formatCode="0.00_);[Red]\(0.00\)"/>
    </dxf>
    <dxf>
      <numFmt numFmtId="178" formatCode="0.00_);[Red]\(0.00\)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5.8311805556" refreshedBy="TUSHAR'S PC" recordCount="1000">
  <cacheSource type="worksheet">
    <worksheetSource name="Table3"/>
  </cacheSource>
  <cacheFields count="9">
    <cacheField name="Project_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Project_Name" numFmtId="0">
      <sharedItems count="6">
        <s v="Metro Corridor Extension"/>
        <s v="Smart Grid Substation"/>
        <s v="Elevated Flyover Construction"/>
        <s v="Solar Power Plant Setup"/>
        <s v="Water Treatment Pipeline"/>
        <s v="National Highway Expansion"/>
      </sharedItems>
    </cacheField>
    <cacheField name="Region" numFmtId="0">
      <sharedItems count="5">
        <s v="East"/>
        <s v="West"/>
        <s v="South"/>
        <s v="North"/>
        <s v="N/A"/>
      </sharedItems>
    </cacheField>
    <cacheField name="Estimated_Budget($)" numFmtId="178">
      <sharedItems containsSemiMixedTypes="0" containsString="0" containsNumber="1" containsInteger="1" minValue="100457" maxValue="899950" count="1000">
        <n v="546355"/>
        <n v="197831"/>
        <n v="603556"/>
        <n v="704446"/>
        <n v="635892"/>
        <n v="433588"/>
        <n v="561142"/>
        <n v="601927"/>
        <n v="758660"/>
        <n v="427294"/>
        <n v="769586"/>
        <n v="889044"/>
        <n v="554425"/>
        <n v="657408"/>
        <n v="234111"/>
        <n v="784503"/>
        <n v="497437"/>
        <n v="427702"/>
        <n v="359141"/>
        <n v="297972"/>
        <n v="247316"/>
        <n v="272446"/>
        <n v="373114"/>
        <n v="706703"/>
        <n v="210484"/>
        <n v="422455"/>
        <n v="401161"/>
        <n v="329162"/>
        <n v="152536"/>
        <n v="215535"/>
        <n v="860487"/>
        <n v="650923"/>
        <n v="775886"/>
        <n v="521229"/>
        <n v="884264"/>
        <n v="417081"/>
        <n v="247900"/>
        <n v="519474"/>
        <n v="779592"/>
        <n v="792040"/>
        <n v="815766"/>
        <n v="373701"/>
        <n v="290424"/>
        <n v="847133"/>
        <n v="139406"/>
        <n v="359093"/>
        <n v="709992"/>
        <n v="119542"/>
        <n v="659612"/>
        <n v="775809"/>
        <n v="735208"/>
        <n v="866738"/>
        <n v="639600"/>
        <n v="633587"/>
        <n v="100466"/>
        <n v="230650"/>
        <n v="683939"/>
        <n v="581297"/>
        <n v="746284"/>
        <n v="490526"/>
        <n v="596073"/>
        <n v="327081"/>
        <n v="214582"/>
        <n v="763337"/>
        <n v="702066"/>
        <n v="700082"/>
        <n v="111600"/>
        <n v="274124"/>
        <n v="397683"/>
        <n v="681050"/>
        <n v="639369"/>
        <n v="849869"/>
        <n v="484059"/>
        <n v="392209"/>
        <n v="280757"/>
        <n v="475039"/>
        <n v="530388"/>
        <n v="202519"/>
        <n v="870481"/>
        <n v="392726"/>
        <n v="434230"/>
        <n v="880936"/>
        <n v="268097"/>
        <n v="258092"/>
        <n v="113173"/>
        <n v="235615"/>
        <n v="740903"/>
        <n v="501344"/>
        <n v="722839"/>
        <n v="282593"/>
        <n v="314224"/>
        <n v="436137"/>
        <n v="211515"/>
        <n v="761583"/>
        <n v="523090"/>
        <n v="884073"/>
        <n v="591724"/>
        <n v="760017"/>
        <n v="297115"/>
        <n v="327980"/>
        <n v="376565"/>
        <n v="718430"/>
        <n v="519666"/>
        <n v="498800"/>
        <n v="299500"/>
        <n v="480140"/>
        <n v="846463"/>
        <n v="560955"/>
        <n v="170938"/>
        <n v="384681"/>
        <n v="539378"/>
        <n v="509897"/>
        <n v="457266"/>
        <n v="596525"/>
        <n v="776298"/>
        <n v="340108"/>
        <n v="283840"/>
        <n v="615062"/>
        <n v="251827"/>
        <n v="401012"/>
        <n v="839802"/>
        <n v="359046"/>
        <n v="515712"/>
        <n v="280594"/>
        <n v="672713"/>
        <n v="293779"/>
        <n v="761380"/>
        <n v="854784"/>
        <n v="704615"/>
        <n v="467896"/>
        <n v="209948"/>
        <n v="265684"/>
        <n v="878847"/>
        <n v="819833"/>
        <n v="626523"/>
        <n v="340770"/>
        <n v="451239"/>
        <n v="768508"/>
        <n v="263314"/>
        <n v="294885"/>
        <n v="640526"/>
        <n v="510530"/>
        <n v="265857"/>
        <n v="405267"/>
        <n v="521449"/>
        <n v="760454"/>
        <n v="317673"/>
        <n v="282733"/>
        <n v="715689"/>
        <n v="394455"/>
        <n v="269516"/>
        <n v="284148"/>
        <n v="631861"/>
        <n v="300659"/>
        <n v="280648"/>
        <n v="320086"/>
        <n v="444605"/>
        <n v="752277"/>
        <n v="306281"/>
        <n v="271248"/>
        <n v="506116"/>
        <n v="109731"/>
        <n v="169875"/>
        <n v="269696"/>
        <n v="805763"/>
        <n v="662718"/>
        <n v="764449"/>
        <n v="793295"/>
        <n v="684631"/>
        <n v="719220"/>
        <n v="849009"/>
        <n v="529626"/>
        <n v="140166"/>
        <n v="494264"/>
        <n v="121076"/>
        <n v="160244"/>
        <n v="728315"/>
        <n v="280506"/>
        <n v="204257"/>
        <n v="467893"/>
        <n v="273162"/>
        <n v="729425"/>
        <n v="642375"/>
        <n v="175078"/>
        <n v="623432"/>
        <n v="671512"/>
        <n v="370621"/>
        <n v="785830"/>
        <n v="650148"/>
        <n v="150562"/>
        <n v="227927"/>
        <n v="204168"/>
        <n v="489614"/>
        <n v="611305"/>
        <n v="638161"/>
        <n v="478226"/>
        <n v="203850"/>
        <n v="202565"/>
        <n v="277737"/>
        <n v="102263"/>
        <n v="677547"/>
        <n v="379842"/>
        <n v="796379"/>
        <n v="155048"/>
        <n v="208551"/>
        <n v="115797"/>
        <n v="537459"/>
        <n v="666150"/>
        <n v="144378"/>
        <n v="492375"/>
        <n v="405670"/>
        <n v="135186"/>
        <n v="654980"/>
        <n v="460011"/>
        <n v="727221"/>
        <n v="677996"/>
        <n v="285550"/>
        <n v="462876"/>
        <n v="541487"/>
        <n v="853366"/>
        <n v="698687"/>
        <n v="472203"/>
        <n v="599392"/>
        <n v="755470"/>
        <n v="880294"/>
        <n v="635388"/>
        <n v="229663"/>
        <n v="853748"/>
        <n v="833674"/>
        <n v="838980"/>
        <n v="246053"/>
        <n v="463678"/>
        <n v="107257"/>
        <n v="265434"/>
        <n v="518309"/>
        <n v="234100"/>
        <n v="890870"/>
        <n v="860990"/>
        <n v="487085"/>
        <n v="737296"/>
        <n v="153874"/>
        <n v="823977"/>
        <n v="890906"/>
        <n v="335030"/>
        <n v="154411"/>
        <n v="620887"/>
        <n v="798748"/>
        <n v="151090"/>
        <n v="214549"/>
        <n v="438989"/>
        <n v="802882"/>
        <n v="431056"/>
        <n v="889119"/>
        <n v="373904"/>
        <n v="293379"/>
        <n v="425966"/>
        <n v="242301"/>
        <n v="673877"/>
        <n v="481780"/>
        <n v="575998"/>
        <n v="545652"/>
        <n v="522451"/>
        <n v="150019"/>
        <n v="835401"/>
        <n v="601013"/>
        <n v="428730"/>
        <n v="281147"/>
        <n v="583133"/>
        <n v="563522"/>
        <n v="634729"/>
        <n v="437152"/>
        <n v="709481"/>
        <n v="555002"/>
        <n v="117258"/>
        <n v="580149"/>
        <n v="259756"/>
        <n v="603682"/>
        <n v="482862"/>
        <n v="308567"/>
        <n v="732213"/>
        <n v="493189"/>
        <n v="366066"/>
        <n v="706133"/>
        <n v="161265"/>
        <n v="693654"/>
        <n v="877811"/>
        <n v="223737"/>
        <n v="157910"/>
        <n v="819720"/>
        <n v="838773"/>
        <n v="543268"/>
        <n v="703856"/>
        <n v="530813"/>
        <n v="754790"/>
        <n v="110561"/>
        <n v="466653"/>
        <n v="712709"/>
        <n v="653781"/>
        <n v="286019"/>
        <n v="145803"/>
        <n v="340303"/>
        <n v="445652"/>
        <n v="234133"/>
        <n v="250889"/>
        <n v="661005"/>
        <n v="792192"/>
        <n v="409636"/>
        <n v="785745"/>
        <n v="648272"/>
        <n v="855568"/>
        <n v="542244"/>
        <n v="136507"/>
        <n v="272815"/>
        <n v="534118"/>
        <n v="263629"/>
        <n v="405886"/>
        <n v="188852"/>
        <n v="791367"/>
        <n v="462665"/>
        <n v="862997"/>
        <n v="319527"/>
        <n v="899950"/>
        <n v="303757"/>
        <n v="361480"/>
        <n v="302348"/>
        <n v="399211"/>
        <n v="554278"/>
        <n v="627607"/>
        <n v="192355"/>
        <n v="433416"/>
        <n v="427566"/>
        <n v="390238"/>
        <n v="801262"/>
        <n v="493306"/>
        <n v="494937"/>
        <n v="492600"/>
        <n v="663661"/>
        <n v="736847"/>
        <n v="539987"/>
        <n v="472740"/>
        <n v="621282"/>
        <n v="516165"/>
        <n v="692494"/>
        <n v="442445"/>
        <n v="184713"/>
        <n v="697569"/>
        <n v="615512"/>
        <n v="757124"/>
        <n v="500707"/>
        <n v="703083"/>
        <n v="741288"/>
        <n v="832246"/>
        <n v="288456"/>
        <n v="208214"/>
        <n v="579742"/>
        <n v="510020"/>
        <n v="656709"/>
        <n v="130399"/>
        <n v="586228"/>
        <n v="156786"/>
        <n v="432131"/>
        <n v="548827"/>
        <n v="854079"/>
        <n v="835695"/>
        <n v="180076"/>
        <n v="691164"/>
        <n v="189205"/>
        <n v="613979"/>
        <n v="433738"/>
        <n v="813023"/>
        <n v="484087"/>
        <n v="401821"/>
        <n v="347699"/>
        <n v="193167"/>
        <n v="882664"/>
        <n v="149851"/>
        <n v="110223"/>
        <n v="224858"/>
        <n v="873490"/>
        <n v="229155"/>
        <n v="425950"/>
        <n v="769278"/>
        <n v="357418"/>
        <n v="518465"/>
        <n v="223469"/>
        <n v="662162"/>
        <n v="846408"/>
        <n v="693773"/>
        <n v="786163"/>
        <n v="338814"/>
        <n v="169271"/>
        <n v="719539"/>
        <n v="362191"/>
        <n v="538994"/>
        <n v="481810"/>
        <n v="232084"/>
        <n v="299590"/>
        <n v="510192"/>
        <n v="108803"/>
        <n v="859021"/>
        <n v="346077"/>
        <n v="822421"/>
        <n v="360430"/>
        <n v="164289"/>
        <n v="634232"/>
        <n v="216118"/>
        <n v="872910"/>
        <n v="350353"/>
        <n v="215370"/>
        <n v="332276"/>
        <n v="167385"/>
        <n v="547694"/>
        <n v="230601"/>
        <n v="353744"/>
        <n v="447264"/>
        <n v="403074"/>
        <n v="247088"/>
        <n v="377781"/>
        <n v="793893"/>
        <n v="318463"/>
        <n v="669383"/>
        <n v="488751"/>
        <n v="145753"/>
        <n v="896205"/>
        <n v="137907"/>
        <n v="788232"/>
        <n v="542225"/>
        <n v="385280"/>
        <n v="489574"/>
        <n v="627801"/>
        <n v="275533"/>
        <n v="569333"/>
        <n v="253298"/>
        <n v="230205"/>
        <n v="113366"/>
        <n v="515191"/>
        <n v="806171"/>
        <n v="743168"/>
        <n v="660083"/>
        <n v="120218"/>
        <n v="259466"/>
        <n v="808879"/>
        <n v="176257"/>
        <n v="850765"/>
        <n v="110610"/>
        <n v="629550"/>
        <n v="122921"/>
        <n v="776628"/>
        <n v="336151"/>
        <n v="376045"/>
        <n v="589595"/>
        <n v="138569"/>
        <n v="671128"/>
        <n v="187990"/>
        <n v="149314"/>
        <n v="520062"/>
        <n v="403914"/>
        <n v="533504"/>
        <n v="656064"/>
        <n v="191531"/>
        <n v="183377"/>
        <n v="654677"/>
        <n v="508947"/>
        <n v="181590"/>
        <n v="531225"/>
        <n v="177420"/>
        <n v="490797"/>
        <n v="134006"/>
        <n v="775510"/>
        <n v="545913"/>
        <n v="585257"/>
        <n v="344093"/>
        <n v="420649"/>
        <n v="503734"/>
        <n v="760205"/>
        <n v="894235"/>
        <n v="322437"/>
        <n v="410899"/>
        <n v="500067"/>
        <n v="612262"/>
        <n v="697209"/>
        <n v="708846"/>
        <n v="570508"/>
        <n v="542516"/>
        <n v="442375"/>
        <n v="441737"/>
        <n v="795425"/>
        <n v="239961"/>
        <n v="288664"/>
        <n v="622425"/>
        <n v="570854"/>
        <n v="466932"/>
        <n v="451718"/>
        <n v="475689"/>
        <n v="336596"/>
        <n v="841372"/>
        <n v="172976"/>
        <n v="173420"/>
        <n v="616052"/>
        <n v="794556"/>
        <n v="158182"/>
        <n v="443269"/>
        <n v="674524"/>
        <n v="640630"/>
        <n v="730782"/>
        <n v="484280"/>
        <n v="335230"/>
        <n v="199077"/>
        <n v="327508"/>
        <n v="190081"/>
        <n v="842303"/>
        <n v="452339"/>
        <n v="335932"/>
        <n v="552907"/>
        <n v="593801"/>
        <n v="171652"/>
        <n v="332607"/>
        <n v="345562"/>
        <n v="270229"/>
        <n v="352233"/>
        <n v="588935"/>
        <n v="356773"/>
        <n v="889022"/>
        <n v="593645"/>
        <n v="274481"/>
        <n v="536811"/>
        <n v="735833"/>
        <n v="330084"/>
        <n v="426893"/>
        <n v="856904"/>
        <n v="332248"/>
        <n v="610979"/>
        <n v="665844"/>
        <n v="368429"/>
        <n v="392755"/>
        <n v="441196"/>
        <n v="727396"/>
        <n v="755349"/>
        <n v="415397"/>
        <n v="540060"/>
        <n v="787670"/>
        <n v="661357"/>
        <n v="735392"/>
        <n v="143434"/>
        <n v="346476"/>
        <n v="528818"/>
        <n v="878371"/>
        <n v="493867"/>
        <n v="818869"/>
        <n v="132987"/>
        <n v="777376"/>
        <n v="470359"/>
        <n v="128096"/>
        <n v="655936"/>
        <n v="410381"/>
        <n v="618923"/>
        <n v="726699"/>
        <n v="531258"/>
        <n v="898405"/>
        <n v="112293"/>
        <n v="476364"/>
        <n v="239561"/>
        <n v="156478"/>
        <n v="540891"/>
        <n v="334378"/>
        <n v="423365"/>
        <n v="230010"/>
        <n v="512447"/>
        <n v="749990"/>
        <n v="653705"/>
        <n v="675048"/>
        <n v="595454"/>
        <n v="752010"/>
        <n v="691334"/>
        <n v="175288"/>
        <n v="346169"/>
        <n v="495802"/>
        <n v="891282"/>
        <n v="834943"/>
        <n v="607652"/>
        <n v="192028"/>
        <n v="141803"/>
        <n v="155584"/>
        <n v="252625"/>
        <n v="831869"/>
        <n v="524837"/>
        <n v="897671"/>
        <n v="150174"/>
        <n v="323132"/>
        <n v="283146"/>
        <n v="347660"/>
        <n v="784521"/>
        <n v="591440"/>
        <n v="290037"/>
        <n v="850056"/>
        <n v="366088"/>
        <n v="246889"/>
        <n v="231553"/>
        <n v="226456"/>
        <n v="334374"/>
        <n v="829481"/>
        <n v="593000"/>
        <n v="756443"/>
        <n v="770557"/>
        <n v="285586"/>
        <n v="674929"/>
        <n v="517247"/>
        <n v="720294"/>
        <n v="859048"/>
        <n v="764750"/>
        <n v="197923"/>
        <n v="468516"/>
        <n v="690293"/>
        <n v="200569"/>
        <n v="745287"/>
        <n v="712705"/>
        <n v="125190"/>
        <n v="436776"/>
        <n v="402095"/>
        <n v="448253"/>
        <n v="856296"/>
        <n v="890928"/>
        <n v="891484"/>
        <n v="890094"/>
        <n v="492194"/>
        <n v="542246"/>
        <n v="327549"/>
        <n v="261869"/>
        <n v="544407"/>
        <n v="267912"/>
        <n v="533970"/>
        <n v="718468"/>
        <n v="514112"/>
        <n v="892422"/>
        <n v="119256"/>
        <n v="475930"/>
        <n v="727211"/>
        <n v="181383"/>
        <n v="276825"/>
        <n v="298012"/>
        <n v="708291"/>
        <n v="899313"/>
        <n v="276274"/>
        <n v="207454"/>
        <n v="574969"/>
        <n v="106172"/>
        <n v="201885"/>
        <n v="540528"/>
        <n v="399580"/>
        <n v="682534"/>
        <n v="455931"/>
        <n v="609270"/>
        <n v="574265"/>
        <n v="231369"/>
        <n v="497588"/>
        <n v="384387"/>
        <n v="486449"/>
        <n v="699417"/>
        <n v="737064"/>
        <n v="330888"/>
        <n v="434812"/>
        <n v="341747"/>
        <n v="216714"/>
        <n v="330321"/>
        <n v="231234"/>
        <n v="542073"/>
        <n v="344869"/>
        <n v="268205"/>
        <n v="831293"/>
        <n v="198850"/>
        <n v="863396"/>
        <n v="380607"/>
        <n v="865165"/>
        <n v="124219"/>
        <n v="319574"/>
        <n v="634661"/>
        <n v="284962"/>
        <n v="538178"/>
        <n v="302378"/>
        <n v="504173"/>
        <n v="633871"/>
        <n v="243675"/>
        <n v="275109"/>
        <n v="228168"/>
        <n v="484674"/>
        <n v="202374"/>
        <n v="382802"/>
        <n v="595843"/>
        <n v="159843"/>
        <n v="715699"/>
        <n v="245807"/>
        <n v="321509"/>
        <n v="776004"/>
        <n v="408973"/>
        <n v="281126"/>
        <n v="457410"/>
        <n v="709469"/>
        <n v="853733"/>
        <n v="824922"/>
        <n v="532691"/>
        <n v="307920"/>
        <n v="249612"/>
        <n v="206778"/>
        <n v="656452"/>
        <n v="623960"/>
        <n v="412846"/>
        <n v="664206"/>
        <n v="163141"/>
        <n v="673048"/>
        <n v="857451"/>
        <n v="550703"/>
        <n v="760613"/>
        <n v="112919"/>
        <n v="209833"/>
        <n v="728710"/>
        <n v="814382"/>
        <n v="172446"/>
        <n v="354678"/>
        <n v="294506"/>
        <n v="841589"/>
        <n v="520792"/>
        <n v="124427"/>
        <n v="238022"/>
        <n v="681315"/>
        <n v="338357"/>
        <n v="415198"/>
        <n v="699886"/>
        <n v="552282"/>
        <n v="884575"/>
        <n v="766750"/>
        <n v="315286"/>
        <n v="747206"/>
        <n v="358899"/>
        <n v="531494"/>
        <n v="539111"/>
        <n v="187908"/>
        <n v="655060"/>
        <n v="489658"/>
        <n v="262750"/>
        <n v="861384"/>
        <n v="645847"/>
        <n v="438489"/>
        <n v="120946"/>
        <n v="638461"/>
        <n v="867438"/>
        <n v="710308"/>
        <n v="158715"/>
        <n v="349102"/>
        <n v="596013"/>
        <n v="841212"/>
        <n v="683475"/>
        <n v="405344"/>
        <n v="419357"/>
        <n v="582943"/>
        <n v="865279"/>
        <n v="205551"/>
        <n v="836061"/>
        <n v="613488"/>
        <n v="851200"/>
        <n v="687118"/>
        <n v="655259"/>
        <n v="111557"/>
        <n v="882662"/>
        <n v="218541"/>
        <n v="116345"/>
        <n v="759860"/>
        <n v="877830"/>
        <n v="234097"/>
        <n v="224242"/>
        <n v="650591"/>
        <n v="565178"/>
        <n v="856449"/>
        <n v="620030"/>
        <n v="169767"/>
        <n v="159251"/>
        <n v="137243"/>
        <n v="868956"/>
        <n v="721740"/>
        <n v="413179"/>
        <n v="400545"/>
        <n v="441274"/>
        <n v="795739"/>
        <n v="693120"/>
        <n v="325630"/>
        <n v="205091"/>
        <n v="212814"/>
        <n v="649861"/>
        <n v="531307"/>
        <n v="848002"/>
        <n v="419884"/>
        <n v="233268"/>
        <n v="400873"/>
        <n v="698449"/>
        <n v="247173"/>
        <n v="592091"/>
        <n v="639135"/>
        <n v="740851"/>
        <n v="107484"/>
        <n v="233810"/>
        <n v="261931"/>
        <n v="262027"/>
        <n v="376255"/>
        <n v="771025"/>
        <n v="837637"/>
        <n v="841260"/>
        <n v="866295"/>
        <n v="853701"/>
        <n v="399262"/>
        <n v="531468"/>
        <n v="822298"/>
        <n v="611300"/>
        <n v="757277"/>
        <n v="618318"/>
        <n v="310926"/>
        <n v="488740"/>
        <n v="563604"/>
        <n v="458617"/>
        <n v="286866"/>
        <n v="451884"/>
        <n v="188757"/>
        <n v="586067"/>
        <n v="230519"/>
        <n v="380977"/>
        <n v="491060"/>
        <n v="169161"/>
        <n v="809834"/>
        <n v="706101"/>
        <n v="850088"/>
        <n v="552854"/>
        <n v="212922"/>
        <n v="318984"/>
        <n v="498330"/>
        <n v="892303"/>
        <n v="608724"/>
        <n v="724198"/>
        <n v="187046"/>
        <n v="235156"/>
        <n v="772005"/>
        <n v="290106"/>
        <n v="490545"/>
        <n v="741272"/>
        <n v="229025"/>
        <n v="580411"/>
        <n v="896219"/>
        <n v="867646"/>
        <n v="409913"/>
        <n v="756530"/>
        <n v="505587"/>
        <n v="388275"/>
        <n v="322106"/>
        <n v="795188"/>
        <n v="829851"/>
        <n v="439048"/>
        <n v="847658"/>
        <n v="234574"/>
        <n v="462693"/>
        <n v="778107"/>
        <n v="794201"/>
        <n v="681709"/>
        <n v="100457"/>
        <n v="107071"/>
        <n v="326732"/>
        <n v="172678"/>
        <n v="875368"/>
        <n v="277985"/>
        <n v="285728"/>
        <n v="575596"/>
        <n v="127931"/>
        <n v="674581"/>
        <n v="308682"/>
        <n v="142263"/>
        <n v="611223"/>
        <n v="212131"/>
        <n v="444887"/>
        <n v="484010"/>
        <n v="538645"/>
        <n v="568689"/>
        <n v="228259"/>
        <n v="832120"/>
        <n v="772220"/>
        <n v="258066"/>
        <n v="840877"/>
        <n v="169190"/>
        <n v="367850"/>
        <n v="845363"/>
        <n v="224696"/>
        <n v="518827"/>
        <n v="502930"/>
        <n v="251307"/>
        <n v="422973"/>
        <n v="322351"/>
        <n v="775228"/>
        <n v="134029"/>
        <n v="801617"/>
        <n v="697400"/>
        <n v="539142"/>
        <n v="494788"/>
        <n v="389762"/>
        <n v="464026"/>
        <n v="522614"/>
        <n v="294136"/>
        <n v="188139"/>
        <n v="180084"/>
        <n v="500555"/>
        <n v="513196"/>
        <n v="659844"/>
        <n v="192693"/>
        <n v="720608"/>
        <n v="234008"/>
        <n v="560367"/>
        <n v="145677"/>
        <n v="823846"/>
        <n v="567915"/>
        <n v="121889"/>
        <n v="763254"/>
        <n v="351689"/>
        <n v="707103"/>
        <n v="899812"/>
        <n v="815495"/>
        <n v="684941"/>
        <n v="601761"/>
        <n v="264466"/>
        <n v="214098"/>
        <n v="714225"/>
        <n v="313300"/>
        <n v="844779"/>
        <n v="543858"/>
        <n v="641317"/>
        <n v="408566"/>
        <n v="899372"/>
        <n v="879728"/>
        <n v="188006"/>
        <n v="526050"/>
        <n v="195749"/>
        <n v="854695"/>
        <n v="317601"/>
        <n v="649896"/>
        <n v="638392"/>
        <n v="441299"/>
        <n v="158950"/>
        <n v="245675"/>
        <n v="197460"/>
        <n v="849994"/>
        <n v="515677"/>
        <n v="266996"/>
        <n v="430329"/>
        <n v="296378"/>
        <n v="567413"/>
        <n v="523838"/>
        <n v="238710"/>
        <n v="324813"/>
        <n v="821299"/>
        <n v="184874"/>
        <n v="854879"/>
        <n v="396980"/>
        <n v="615494"/>
        <n v="388436"/>
        <n v="373264"/>
        <n v="198410"/>
        <n v="785015"/>
        <n v="308774"/>
        <n v="207546"/>
        <n v="762619"/>
        <n v="826907"/>
        <n v="414074"/>
        <n v="727014"/>
        <n v="436001"/>
        <n v="661845"/>
        <n v="312348"/>
        <n v="442895"/>
        <n v="283455"/>
        <n v="576444"/>
        <n v="367157"/>
        <n v="195324"/>
        <n v="427924"/>
        <n v="416259"/>
        <n v="513345"/>
        <n v="263853"/>
        <n v="162600"/>
        <n v="618901"/>
        <n v="208987"/>
        <n v="403046"/>
        <n v="117103"/>
        <n v="632812"/>
        <n v="591737"/>
        <n v="631085"/>
        <n v="309744"/>
        <n v="563987"/>
        <n v="583571"/>
        <n v="373058"/>
        <n v="357581"/>
        <n v="268541"/>
        <n v="874442"/>
        <n v="238570"/>
        <n v="256562"/>
        <n v="557259"/>
        <n v="450860"/>
        <n v="411363"/>
        <n v="338850"/>
        <n v="345094"/>
      </sharedItems>
    </cacheField>
    <cacheField name="Target_Days" numFmtId="0">
      <sharedItems containsSemiMixedTypes="0" containsString="0" containsNumber="1" containsInteger="1" minValue="90" maxValue="240" count="151">
        <n v="232"/>
        <n v="159"/>
        <n v="211"/>
        <n v="191"/>
        <n v="148"/>
        <n v="240"/>
        <n v="131"/>
        <n v="167"/>
        <n v="187"/>
        <n v="132"/>
        <n v="208"/>
        <n v="152"/>
        <n v="171"/>
        <n v="127"/>
        <n v="94"/>
        <n v="166"/>
        <n v="112"/>
        <n v="174"/>
        <n v="199"/>
        <n v="200"/>
        <n v="117"/>
        <n v="205"/>
        <n v="236"/>
        <n v="122"/>
        <n v="101"/>
        <n v="224"/>
        <n v="124"/>
        <n v="198"/>
        <n v="111"/>
        <n v="197"/>
        <n v="185"/>
        <n v="202"/>
        <n v="193"/>
        <n v="147"/>
        <n v="173"/>
        <n v="230"/>
        <n v="116"/>
        <n v="180"/>
        <n v="120"/>
        <n v="170"/>
        <n v="237"/>
        <n v="100"/>
        <n v="160"/>
        <n v="115"/>
        <n v="239"/>
        <n v="91"/>
        <n v="155"/>
        <n v="107"/>
        <n v="215"/>
        <n v="225"/>
        <n v="192"/>
        <n v="145"/>
        <n v="106"/>
        <n v="196"/>
        <n v="156"/>
        <n v="233"/>
        <n v="204"/>
        <n v="139"/>
        <n v="123"/>
        <n v="229"/>
        <n v="178"/>
        <n v="179"/>
        <n v="169"/>
        <n v="125"/>
        <n v="92"/>
        <n v="213"/>
        <n v="223"/>
        <n v="184"/>
        <n v="97"/>
        <n v="206"/>
        <n v="214"/>
        <n v="90"/>
        <n v="157"/>
        <n v="126"/>
        <n v="93"/>
        <n v="153"/>
        <n v="138"/>
        <n v="105"/>
        <n v="227"/>
        <n v="186"/>
        <n v="154"/>
        <n v="143"/>
        <n v="235"/>
        <n v="136"/>
        <n v="163"/>
        <n v="212"/>
        <n v="220"/>
        <n v="144"/>
        <n v="203"/>
        <n v="177"/>
        <n v="218"/>
        <n v="195"/>
        <n v="150"/>
        <n v="175"/>
        <n v="210"/>
        <n v="129"/>
        <n v="108"/>
        <n v="109"/>
        <n v="188"/>
        <n v="140"/>
        <n v="121"/>
        <n v="102"/>
        <n v="194"/>
        <n v="216"/>
        <n v="231"/>
        <n v="164"/>
        <n v="146"/>
        <n v="226"/>
        <n v="118"/>
        <n v="201"/>
        <n v="189"/>
        <n v="135"/>
        <n v="158"/>
        <n v="137"/>
        <n v="110"/>
        <n v="95"/>
        <n v="162"/>
        <n v="228"/>
        <n v="130"/>
        <n v="104"/>
        <n v="142"/>
        <n v="182"/>
        <n v="96"/>
        <n v="151"/>
        <n v="114"/>
        <n v="141"/>
        <n v="161"/>
        <n v="172"/>
        <n v="134"/>
        <n v="98"/>
        <n v="183"/>
        <n v="128"/>
        <n v="181"/>
        <n v="234"/>
        <n v="99"/>
        <n v="221"/>
        <n v="119"/>
        <n v="222"/>
        <n v="190"/>
        <n v="165"/>
        <n v="219"/>
        <n v="113"/>
        <n v="133"/>
        <n v="149"/>
        <n v="176"/>
        <n v="238"/>
        <n v="217"/>
        <n v="168"/>
        <n v="103"/>
        <n v="209"/>
        <n v="207"/>
      </sharedItems>
    </cacheField>
    <cacheField name="Material_Delay_Flag" numFmtId="0">
      <sharedItems count="2">
        <s v="No"/>
        <s v="Yes"/>
      </sharedItems>
    </cacheField>
    <cacheField name="Actual_Spend" numFmtId="178">
      <sharedItems containsSemiMixedTypes="0" containsString="0" containsNumber="1" minValue="95434.15" maxValue="1032321.65" count="1000">
        <n v="519037.25"/>
        <n v="187939.45"/>
        <n v="573378.2"/>
        <n v="669223.7"/>
        <n v="604097.4"/>
        <n v="411908.6"/>
        <n v="533084.9"/>
        <n v="571830.65"/>
        <n v="720727"/>
        <n v="491388.1"/>
        <n v="731106.7"/>
        <n v="844591.8"/>
        <n v="526703.75"/>
        <n v="624537.6"/>
        <n v="222405.45"/>
        <n v="902178.45"/>
        <n v="572052.55"/>
        <n v="491857.3"/>
        <n v="341183.95"/>
        <n v="283073.4"/>
        <n v="284413.4"/>
        <n v="258823.7"/>
        <n v="429081.1"/>
        <n v="671367.85"/>
        <n v="199959.8"/>
        <n v="485823.25"/>
        <n v="461335.15"/>
        <n v="312703.9"/>
        <n v="175416.4"/>
        <n v="204758.25"/>
        <n v="817462.65"/>
        <n v="618376.85"/>
        <n v="737091.7"/>
        <n v="495167.55"/>
        <n v="840050.8"/>
        <n v="396226.95"/>
        <n v="235505"/>
        <n v="493500.3"/>
        <n v="896530.8"/>
        <n v="752438"/>
        <n v="774977.7"/>
        <n v="355015.95"/>
        <n v="275902.8"/>
        <n v="804776.35"/>
        <n v="132435.7"/>
        <n v="412956.95"/>
        <n v="674492.4"/>
        <n v="113564.9"/>
        <n v="758553.8"/>
        <n v="737018.55"/>
        <n v="698447.6"/>
        <n v="823401.1"/>
        <n v="607620"/>
        <n v="601907.65"/>
        <n v="95442.7"/>
        <n v="219117.5"/>
        <n v="649742.05"/>
        <n v="668491.55"/>
        <n v="708969.8"/>
        <n v="564104.9"/>
        <n v="566269.35"/>
        <n v="376143.15"/>
        <n v="246769.3"/>
        <n v="877837.55"/>
        <n v="666962.7"/>
        <n v="665077.9"/>
        <n v="106020"/>
        <n v="315242.6"/>
        <n v="377798.85"/>
        <n v="646997.5"/>
        <n v="735274.35"/>
        <n v="807375.55"/>
        <n v="459856.05"/>
        <n v="372598.55"/>
        <n v="266719.15"/>
        <n v="451287.05"/>
        <n v="503868.6"/>
        <n v="192393.05"/>
        <n v="826956.95"/>
        <n v="373089.7"/>
        <n v="412518.5"/>
        <n v="1013076.4"/>
        <n v="254692.15"/>
        <n v="296805.8"/>
        <n v="107514.35"/>
        <n v="223834.25"/>
        <n v="852038.45"/>
        <n v="476276.8"/>
        <n v="686697.05"/>
        <n v="268463.35"/>
        <n v="298512.8"/>
        <n v="501557.55"/>
        <n v="243242.25"/>
        <n v="723503.85"/>
        <n v="496935.5"/>
        <n v="839869.35"/>
        <n v="562137.8"/>
        <n v="874019.55"/>
        <n v="282259.25"/>
        <n v="377177"/>
        <n v="357736.75"/>
        <n v="682508.5"/>
        <n v="493682.7"/>
        <n v="473860"/>
        <n v="344425"/>
        <n v="456133"/>
        <n v="973432.45"/>
        <n v="645098.25"/>
        <n v="162391.1"/>
        <n v="365446.95"/>
        <n v="512409.1"/>
        <n v="484402.15"/>
        <n v="434402.7"/>
        <n v="566698.75"/>
        <n v="892742.7"/>
        <n v="323102.6"/>
        <n v="269648"/>
        <n v="584308.9"/>
        <n v="289601.05"/>
        <n v="380961.4"/>
        <n v="797811.9"/>
        <n v="341093.7"/>
        <n v="593068.8"/>
        <n v="266564.3"/>
        <n v="773619.95"/>
        <n v="337845.85"/>
        <n v="723311"/>
        <n v="812044.8"/>
        <n v="810307.25"/>
        <n v="444501.2"/>
        <n v="199450.6"/>
        <n v="252399.8"/>
        <n v="834904.65"/>
        <n v="778841.35"/>
        <n v="595196.85"/>
        <n v="391885.5"/>
        <n v="428677.05"/>
        <n v="730082.6"/>
        <n v="250148.3"/>
        <n v="280140.75"/>
        <n v="736604.9"/>
        <n v="485003.5"/>
        <n v="252564.15"/>
        <n v="385003.65"/>
        <n v="599666.35"/>
        <n v="722431.3"/>
        <n v="301789.35"/>
        <n v="268596.35"/>
        <n v="823042.35"/>
        <n v="374732.25"/>
        <n v="256040.2"/>
        <n v="269940.6"/>
        <n v="600267.95"/>
        <n v="285626.05"/>
        <n v="322745.2"/>
        <n v="304081.7"/>
        <n v="511295.75"/>
        <n v="714663.15"/>
        <n v="352223.15"/>
        <n v="311935.2"/>
        <n v="480810.2"/>
        <n v="104244.45"/>
        <n v="161381.25"/>
        <n v="256211.2"/>
        <n v="765474.85"/>
        <n v="629582.1"/>
        <n v="726226.55"/>
        <n v="753630.25"/>
        <n v="787325.65"/>
        <n v="683259"/>
        <n v="976360.35"/>
        <n v="503144.7"/>
        <n v="133157.7"/>
        <n v="469550.8"/>
        <n v="115022.2"/>
        <n v="152231.8"/>
        <n v="691899.25"/>
        <n v="266480.7"/>
        <n v="234895.55"/>
        <n v="444498.35"/>
        <n v="259503.9"/>
        <n v="692953.75"/>
        <n v="610256.25"/>
        <n v="166324.1"/>
        <n v="592260.4"/>
        <n v="637936.4"/>
        <n v="352089.95"/>
        <n v="746538.5"/>
        <n v="747670.2"/>
        <n v="173146.3"/>
        <n v="262116.05"/>
        <n v="193959.6"/>
        <n v="465133.3"/>
        <n v="703000.75"/>
        <n v="606252.95"/>
        <n v="454314.7"/>
        <n v="193657.5"/>
        <n v="232949.75"/>
        <n v="263850.15"/>
        <n v="97149.85"/>
        <n v="643669.65"/>
        <n v="360849.9"/>
        <n v="756560.05"/>
        <n v="178305.2"/>
        <n v="198123.45"/>
        <n v="110007.15"/>
        <n v="510586.05"/>
        <n v="632842.5"/>
        <n v="166034.7"/>
        <n v="467756.25"/>
        <n v="466520.5"/>
        <n v="128426.7"/>
        <n v="753227"/>
        <n v="529012.65"/>
        <n v="690859.95"/>
        <n v="644096.2"/>
        <n v="271272.5"/>
        <n v="532307.4"/>
        <n v="514412.65"/>
        <n v="981370.9"/>
        <n v="663752.65"/>
        <n v="448592.85"/>
        <n v="569422.4"/>
        <n v="717696.5"/>
        <n v="836279.3"/>
        <n v="603618.6"/>
        <n v="218179.85"/>
        <n v="811060.6"/>
        <n v="958725.1"/>
        <n v="964827"/>
        <n v="233750.35"/>
        <n v="440494.1"/>
        <n v="101894.15"/>
        <n v="252162.3"/>
        <n v="492393.55"/>
        <n v="222395"/>
        <n v="846326.5"/>
        <n v="817940.5"/>
        <n v="462730.75"/>
        <n v="700431.2"/>
        <n v="146180.3"/>
        <n v="782778.15"/>
        <n v="846360.7"/>
        <n v="385284.5"/>
        <n v="146690.45"/>
        <n v="589842.65"/>
        <n v="758810.6"/>
        <n v="143535.5"/>
        <n v="246731.35"/>
        <n v="417039.55"/>
        <n v="762737.9"/>
        <n v="495714.4"/>
        <n v="844663.05"/>
        <n v="355208.8"/>
        <n v="278710.05"/>
        <n v="404667.7"/>
        <n v="230185.95"/>
        <n v="640183.15"/>
        <n v="554047"/>
        <n v="662397.7"/>
        <n v="518369.4"/>
        <n v="496328.45"/>
        <n v="142518.05"/>
        <n v="793630.95"/>
        <n v="570962.35"/>
        <n v="407293.5"/>
        <n v="323319.05"/>
        <n v="553976.35"/>
        <n v="535345.9"/>
        <n v="729938.35"/>
        <n v="415294.4"/>
        <n v="674006.95"/>
        <n v="527251.9"/>
        <n v="111395.1"/>
        <n v="551141.55"/>
        <n v="246768.2"/>
        <n v="694234.3"/>
        <n v="458718.9"/>
        <n v="354852.05"/>
        <n v="695602.35"/>
        <n v="468529.55"/>
        <n v="420975.9"/>
        <n v="670826.35"/>
        <n v="153201.75"/>
        <n v="658971.3"/>
        <n v="1009482.65"/>
        <n v="212550.15"/>
        <n v="150014.5"/>
        <n v="778734"/>
        <n v="796834.35"/>
        <n v="516104.6"/>
        <n v="809434.4"/>
        <n v="610434.95"/>
        <n v="868008.5"/>
        <n v="127145.15"/>
        <n v="536650.95"/>
        <n v="677073.55"/>
        <n v="621091.95"/>
        <n v="271718.05"/>
        <n v="138512.85"/>
        <n v="323287.85"/>
        <n v="423369.4"/>
        <n v="222426.35"/>
        <n v="238344.55"/>
        <n v="627954.75"/>
        <n v="911020.8"/>
        <n v="389154.2"/>
        <n v="746457.75"/>
        <n v="745512.8"/>
        <n v="983903.2"/>
        <n v="515131.8"/>
        <n v="129681.65"/>
        <n v="259174.25"/>
        <n v="507412.1"/>
        <n v="303173.35"/>
        <n v="385591.7"/>
        <n v="179409.4"/>
        <n v="751798.65"/>
        <n v="532064.75"/>
        <n v="819847.15"/>
        <n v="303550.65"/>
        <n v="854952.5"/>
        <n v="288569.15"/>
        <n v="343406"/>
        <n v="347700.2"/>
        <n v="379250.45"/>
        <n v="526564.1"/>
        <n v="596226.65"/>
        <n v="182737.25"/>
        <n v="411745.2"/>
        <n v="406187.7"/>
        <n v="448773.7"/>
        <n v="761198.9"/>
        <n v="468640.7"/>
        <n v="470190.15"/>
        <n v="467970"/>
        <n v="763210.15"/>
        <n v="700004.65"/>
        <n v="620985.05"/>
        <n v="449103"/>
        <n v="590217.9"/>
        <n v="490356.75"/>
        <n v="657869.3"/>
        <n v="508811.75"/>
        <n v="175477.35"/>
        <n v="662690.55"/>
        <n v="584736.4"/>
        <n v="719267.8"/>
        <n v="475671.65"/>
        <n v="808545.45"/>
        <n v="704223.6"/>
        <n v="957082.9"/>
        <n v="274033.2"/>
        <n v="239446.1"/>
        <n v="666703.3"/>
        <n v="586523"/>
        <n v="623873.55"/>
        <n v="123879.05"/>
        <n v="556916.6"/>
        <n v="148946.7"/>
        <n v="496950.65"/>
        <n v="521385.65"/>
        <n v="811375.05"/>
        <n v="793910.25"/>
        <n v="207087.4"/>
        <n v="794838.6"/>
        <n v="179744.75"/>
        <n v="706075.85"/>
        <n v="412051.1"/>
        <n v="772371.85"/>
        <n v="459882.65"/>
        <n v="381729.95"/>
        <n v="330314.05"/>
        <n v="183508.65"/>
        <n v="1015063.6"/>
        <n v="142358.45"/>
        <n v="126756.45"/>
        <n v="213615.1"/>
        <n v="829815.5"/>
        <n v="217697.25"/>
        <n v="404652.5"/>
        <n v="730814.1"/>
        <n v="411030.7"/>
        <n v="492541.75"/>
        <n v="212295.55"/>
        <n v="629053.9"/>
        <n v="973369.2"/>
        <n v="797838.95"/>
        <n v="746854.85"/>
        <n v="321873.3"/>
        <n v="160807.45"/>
        <n v="827469.85"/>
        <n v="344081.45"/>
        <n v="512044.3"/>
        <n v="457719.5"/>
        <n v="220479.8"/>
        <n v="284610.5"/>
        <n v="484682.4"/>
        <n v="103362.85"/>
        <n v="816069.95"/>
        <n v="328773.15"/>
        <n v="781299.95"/>
        <n v="414494.5"/>
        <n v="156074.55"/>
        <n v="602520.4"/>
        <n v="205312.1"/>
        <n v="829264.5"/>
        <n v="332835.35"/>
        <n v="204601.5"/>
        <n v="382117.4"/>
        <n v="159015.75"/>
        <n v="520309.3"/>
        <n v="219070.95"/>
        <n v="336056.8"/>
        <n v="424900.8"/>
        <n v="463535.1"/>
        <n v="234733.6"/>
        <n v="358891.95"/>
        <n v="754198.35"/>
        <n v="302539.85"/>
        <n v="635913.85"/>
        <n v="562063.65"/>
        <n v="138465.35"/>
        <n v="851394.75"/>
        <n v="158593.05"/>
        <n v="748820.4"/>
        <n v="515113.75"/>
        <n v="366016"/>
        <n v="465095.3"/>
        <n v="596410.95"/>
        <n v="316862.95"/>
        <n v="654732.95"/>
        <n v="291292.7"/>
        <n v="218694.75"/>
        <n v="130370.9"/>
        <n v="489431.45"/>
        <n v="927096.65"/>
        <n v="706009.6"/>
        <n v="627078.85"/>
        <n v="138250.7"/>
        <n v="246492.7"/>
        <n v="768435.05"/>
        <n v="167444.15"/>
        <n v="978379.75"/>
        <n v="127201.5"/>
        <n v="598072.5"/>
        <n v="116774.95"/>
        <n v="737796.6"/>
        <n v="319343.45"/>
        <n v="357242.75"/>
        <n v="678034.25"/>
        <n v="159354.35"/>
        <n v="637571.6"/>
        <n v="178590.5"/>
        <n v="141848.3"/>
        <n v="494058.9"/>
        <n v="383718.3"/>
        <n v="506828.8"/>
        <n v="623260.8"/>
        <n v="181954.45"/>
        <n v="174208.15"/>
        <n v="621943.15"/>
        <n v="585289.05"/>
        <n v="172510.5"/>
        <n v="504663.75"/>
        <n v="168549"/>
        <n v="466257.15"/>
        <n v="154106.9"/>
        <n v="736734.5"/>
        <n v="518617.35"/>
        <n v="555994.15"/>
        <n v="326888.35"/>
        <n v="483746.35"/>
        <n v="579294.1"/>
        <n v="722194.75"/>
        <n v="849523.25"/>
        <n v="306315.15"/>
        <n v="390354.05"/>
        <n v="475063.65"/>
        <n v="581648.9"/>
        <n v="662348.55"/>
        <n v="673403.7"/>
        <n v="541982.6"/>
        <n v="515390.2"/>
        <n v="508731.25"/>
        <n v="507997.55"/>
        <n v="755653.75"/>
        <n v="275955.15"/>
        <n v="274230.8"/>
        <n v="591303.75"/>
        <n v="542311.3"/>
        <n v="536971.8"/>
        <n v="429132.1"/>
        <n v="451904.55"/>
        <n v="319766.2"/>
        <n v="799303.4"/>
        <n v="164327.2"/>
        <n v="164749"/>
        <n v="585249.4"/>
        <n v="913739.4"/>
        <n v="150272.9"/>
        <n v="421105.55"/>
        <n v="640797.8"/>
        <n v="736724.5"/>
        <n v="694242.9"/>
        <n v="460066"/>
        <n v="318468.5"/>
        <n v="189123.15"/>
        <n v="311132.6"/>
        <n v="180576.95"/>
        <n v="800187.85"/>
        <n v="429722.05"/>
        <n v="319135.4"/>
        <n v="525261.65"/>
        <n v="564110.95"/>
        <n v="163069.4"/>
        <n v="315976.65"/>
        <n v="328283.9"/>
        <n v="256717.55"/>
        <n v="334621.35"/>
        <n v="559488.25"/>
        <n v="410288.95"/>
        <n v="844570.9"/>
        <n v="682691.75"/>
        <n v="260756.95"/>
        <n v="509970.45"/>
        <n v="699041.35"/>
        <n v="379596.6"/>
        <n v="490926.95"/>
        <n v="814058.8"/>
        <n v="315635.6"/>
        <n v="702625.85"/>
        <n v="632551.8"/>
        <n v="350007.55"/>
        <n v="373117.25"/>
        <n v="419136.2"/>
        <n v="836505.4"/>
        <n v="717581.55"/>
        <n v="394627.15"/>
        <n v="513057"/>
        <n v="748286.5"/>
        <n v="628289.15"/>
        <n v="698622.4"/>
        <n v="136262.3"/>
        <n v="329152.2"/>
        <n v="502377.1"/>
        <n v="1010126.65"/>
        <n v="567947.05"/>
        <n v="777925.55"/>
        <n v="126337.65"/>
        <n v="738507.2"/>
        <n v="446841.05"/>
        <n v="147310.4"/>
        <n v="623139.2"/>
        <n v="471938.15"/>
        <n v="587976.85"/>
        <n v="690364.05"/>
        <n v="504695.1"/>
        <n v="853484.75"/>
        <n v="106678.35"/>
        <n v="452545.8"/>
        <n v="227582.95"/>
        <n v="148654.1"/>
        <n v="622024.65"/>
        <n v="317659.1"/>
        <n v="402196.75"/>
        <n v="218509.5"/>
        <n v="486824.65"/>
        <n v="862488.5"/>
        <n v="621019.75"/>
        <n v="641295.6"/>
        <n v="684772.1"/>
        <n v="714409.5"/>
        <n v="795034.1"/>
        <n v="166523.6"/>
        <n v="398094.35"/>
        <n v="570172.3"/>
        <n v="1024974.3"/>
        <n v="960184.45"/>
        <n v="577269.4"/>
        <n v="182426.6"/>
        <n v="134712.85"/>
        <n v="147804.8"/>
        <n v="239993.75"/>
        <n v="790275.55"/>
        <n v="498595.15"/>
        <n v="1032321.65"/>
        <n v="172700.1"/>
        <n v="371601.8"/>
        <n v="268988.7"/>
        <n v="330277"/>
        <n v="745294.95"/>
        <n v="561868"/>
        <n v="275535.15"/>
        <n v="807553.2"/>
        <n v="347783.6"/>
        <n v="234544.55"/>
        <n v="219975.35"/>
        <n v="215133.2"/>
        <n v="317655.3"/>
        <n v="953903.15"/>
        <n v="563350"/>
        <n v="718620.85"/>
        <n v="732029.15"/>
        <n v="271306.7"/>
        <n v="641182.55"/>
        <n v="491384.65"/>
        <n v="684279.3"/>
        <n v="816095.6"/>
        <n v="726512.5"/>
        <n v="227611.45"/>
        <n v="445090.2"/>
        <n v="655778.35"/>
        <n v="190540.55"/>
        <n v="857080.05"/>
        <n v="677069.75"/>
        <n v="118930.5"/>
        <n v="414937.2"/>
        <n v="381990.25"/>
        <n v="425840.35"/>
        <n v="813481.2"/>
        <n v="1024567.2"/>
        <n v="846909.8"/>
        <n v="845589.3"/>
        <n v="467584.3"/>
        <n v="515133.7"/>
        <n v="376681.35"/>
        <n v="301149.35"/>
        <n v="517186.65"/>
        <n v="254516.4"/>
        <n v="507271.5"/>
        <n v="682544.6"/>
        <n v="488406.4"/>
        <n v="1026285.3"/>
        <n v="113293.2"/>
        <n v="452133.5"/>
        <n v="690850.45"/>
        <n v="208590.45"/>
        <n v="318348.75"/>
        <n v="342713.8"/>
        <n v="672876.45"/>
        <n v="854347.35"/>
        <n v="262460.3"/>
        <n v="197081.3"/>
        <n v="661214.35"/>
        <n v="100863.4"/>
        <n v="191790.75"/>
        <n v="513501.6"/>
        <n v="379601"/>
        <n v="648407.3"/>
        <n v="433134.45"/>
        <n v="700660.5"/>
        <n v="545551.75"/>
        <n v="219800.55"/>
        <n v="472708.6"/>
        <n v="365167.65"/>
        <n v="462126.55"/>
        <n v="804329.55"/>
        <n v="700210.8"/>
        <n v="314343.6"/>
        <n v="500033.8"/>
        <n v="324659.65"/>
        <n v="205878.3"/>
        <n v="313804.95"/>
        <n v="219672.3"/>
        <n v="514969.35"/>
        <n v="327625.55"/>
        <n v="308435.75"/>
        <n v="789728.35"/>
        <n v="188907.5"/>
        <n v="992905.4"/>
        <n v="361576.65"/>
        <n v="821906.75"/>
        <n v="118008.05"/>
        <n v="367510.1"/>
        <n v="602927.95"/>
        <n v="270713.9"/>
        <n v="511269.1"/>
        <n v="287259.1"/>
        <n v="478964.35"/>
        <n v="602177.45"/>
        <n v="231491.25"/>
        <n v="261353.55"/>
        <n v="262393.2"/>
        <n v="460440.3"/>
        <n v="192255.3"/>
        <n v="363661.9"/>
        <n v="566050.85"/>
        <n v="151850.85"/>
        <n v="679914.05"/>
        <n v="233516.65"/>
        <n v="369735.35"/>
        <n v="892404.6"/>
        <n v="388524.35"/>
        <n v="323294.9"/>
        <n v="434539.5"/>
        <n v="673995.55"/>
        <n v="811046.35"/>
        <n v="783675.9"/>
        <n v="612594.65"/>
        <n v="292524"/>
        <n v="237131.4"/>
        <n v="196439.1"/>
        <n v="754919.8"/>
        <n v="592762"/>
        <n v="474772.9"/>
        <n v="630995.7"/>
        <n v="154983.95"/>
        <n v="639395.6"/>
        <n v="814578.45"/>
        <n v="523167.85"/>
        <n v="722582.35"/>
        <n v="107273.05"/>
        <n v="199341.35"/>
        <n v="838016.5"/>
        <n v="773662.9"/>
        <n v="163823.7"/>
        <n v="336944.1"/>
        <n v="279780.7"/>
        <n v="799509.55"/>
        <n v="494752.4"/>
        <n v="118205.65"/>
        <n v="226120.9"/>
        <n v="647249.25"/>
        <n v="321439.15"/>
        <n v="394438.1"/>
        <n v="804868.9"/>
        <n v="635124.3"/>
        <n v="1017261.25"/>
        <n v="881762.5"/>
        <n v="299521.7"/>
        <n v="709845.7"/>
        <n v="340954.05"/>
        <n v="504919.3"/>
        <n v="512155.45"/>
        <n v="178512.6"/>
        <n v="622307"/>
        <n v="465175.1"/>
        <n v="249612.5"/>
        <n v="818314.8"/>
        <n v="613554.65"/>
        <n v="504262.35"/>
        <n v="114898.7"/>
        <n v="606537.95"/>
        <n v="824066.1"/>
        <n v="674792.6"/>
        <n v="150779.25"/>
        <n v="331646.9"/>
        <n v="566212.35"/>
        <n v="799151.4"/>
        <n v="649301.25"/>
        <n v="385076.8"/>
        <n v="482260.55"/>
        <n v="553795.85"/>
        <n v="822015.05"/>
        <n v="195273.45"/>
        <n v="961470.15"/>
        <n v="582813.6"/>
        <n v="978880"/>
        <n v="652762.1"/>
        <n v="622496.05"/>
        <n v="105979.15"/>
        <n v="838528.9"/>
        <n v="207613.95"/>
        <n v="133796.75"/>
        <n v="721867"/>
        <n v="833938.5"/>
        <n v="269211.55"/>
        <n v="213029.9"/>
        <n v="618061.45"/>
        <n v="649954.7"/>
        <n v="813626.55"/>
        <n v="713034.5"/>
        <n v="195232.05"/>
        <n v="151288.45"/>
        <n v="130380.85"/>
        <n v="825508.2"/>
        <n v="685653"/>
        <n v="392520.05"/>
        <n v="380517.75"/>
        <n v="419210.3"/>
        <n v="755952.05"/>
        <n v="658464"/>
        <n v="374474.5"/>
        <n v="194836.45"/>
        <n v="202173.3"/>
        <n v="747340.15"/>
        <n v="504741.65"/>
        <n v="805601.9"/>
        <n v="398889.8"/>
        <n v="268258.2"/>
        <n v="380829.35"/>
        <n v="663526.55"/>
        <n v="234814.35"/>
        <n v="562486.45"/>
        <n v="735005.25"/>
        <n v="703808.45"/>
        <n v="123606.6"/>
        <n v="222119.5"/>
        <n v="301220.65"/>
        <n v="248925.65"/>
        <n v="357442.25"/>
        <n v="732473.75"/>
        <n v="795755.15"/>
        <n v="799197"/>
        <n v="822980.25"/>
        <n v="811015.95"/>
        <n v="379298.9"/>
        <n v="504894.6"/>
        <n v="781183.1"/>
        <n v="580735"/>
        <n v="870868.55"/>
        <n v="587402.1"/>
        <n v="295379.7"/>
        <n v="464303"/>
        <n v="535423.8"/>
        <n v="527409.55"/>
        <n v="272522.7"/>
        <n v="429289.8"/>
        <n v="179319.15"/>
        <n v="673977.05"/>
        <n v="218993.05"/>
        <n v="361928.15"/>
        <n v="564719"/>
        <n v="160702.95"/>
        <n v="931309.1"/>
        <n v="670795.95"/>
        <n v="977601.2"/>
        <n v="525211.3"/>
        <n v="244860.3"/>
        <n v="303034.8"/>
        <n v="473413.5"/>
        <n v="847687.85"/>
        <n v="578287.8"/>
        <n v="832827.7"/>
        <n v="177693.7"/>
        <n v="223398.2"/>
        <n v="733404.75"/>
        <n v="275600.7"/>
        <n v="466017.75"/>
        <n v="704208.4"/>
        <n v="263378.75"/>
        <n v="551390.45"/>
        <n v="851408.05"/>
        <n v="824263.7"/>
        <n v="471399.95"/>
        <n v="718703.5"/>
        <n v="581425.05"/>
        <n v="446516.25"/>
        <n v="306000.7"/>
        <n v="914466.2"/>
        <n v="954328.65"/>
        <n v="504905.2"/>
        <n v="805275.1"/>
        <n v="222845.3"/>
        <n v="439558.35"/>
        <n v="739201.65"/>
        <n v="754490.95"/>
        <n v="647623.55"/>
        <n v="95434.15"/>
        <n v="101717.45"/>
        <n v="310395.4"/>
        <n v="164044.1"/>
        <n v="831599.6"/>
        <n v="264085.75"/>
        <n v="328587.2"/>
        <n v="546816.2"/>
        <n v="121534.45"/>
        <n v="640851.95"/>
        <n v="293247.9"/>
        <n v="135149.85"/>
        <n v="702906.45"/>
        <n v="201524.45"/>
        <n v="422642.65"/>
        <n v="459809.5"/>
        <n v="619441.75"/>
        <n v="540254.55"/>
        <n v="216846.05"/>
        <n v="790514"/>
        <n v="733609"/>
        <n v="245162.7"/>
        <n v="798833.15"/>
        <n v="194568.5"/>
        <n v="349457.5"/>
        <n v="972167.45"/>
        <n v="213461.2"/>
        <n v="596651.05"/>
        <n v="578369.5"/>
        <n v="238741.65"/>
        <n v="486418.95"/>
        <n v="306233.45"/>
        <n v="891512.2"/>
        <n v="154133.35"/>
        <n v="761536.15"/>
        <n v="662530"/>
        <n v="512184.9"/>
        <n v="470048.6"/>
        <n v="370273.9"/>
        <n v="440824.7"/>
        <n v="601006.1"/>
        <n v="279429.2"/>
        <n v="178732.05"/>
        <n v="171079.8"/>
        <n v="475527.25"/>
        <n v="487536.2"/>
        <n v="626851.8"/>
        <n v="183058.35"/>
        <n v="684577.6"/>
        <n v="222307.6"/>
        <n v="532348.65"/>
        <n v="138393.15"/>
        <n v="947422.9"/>
        <n v="539519.25"/>
        <n v="115794.55"/>
        <n v="877742.1"/>
        <n v="334104.55"/>
        <n v="671747.85"/>
        <n v="854821.4"/>
        <n v="774720.25"/>
        <n v="650693.95"/>
        <n v="571672.95"/>
        <n v="304135.9"/>
        <n v="203393.1"/>
        <n v="678513.75"/>
        <n v="297635"/>
        <n v="802540.05"/>
        <n v="625436.7"/>
        <n v="609251.15"/>
        <n v="469850.9"/>
        <n v="854403.4"/>
        <n v="835741.6"/>
        <n v="216206.9"/>
        <n v="499747.5"/>
        <n v="225111.35"/>
        <n v="811960.25"/>
        <n v="301720.95"/>
        <n v="747380.4"/>
        <n v="734150.8"/>
        <n v="507493.85"/>
        <n v="151002.5"/>
        <n v="233391.25"/>
        <n v="187587"/>
        <n v="807494.3"/>
        <n v="593028.55"/>
        <n v="253646.2"/>
        <n v="408812.55"/>
        <n v="281559.1"/>
        <n v="539042.35"/>
        <n v="497646.1"/>
        <n v="226774.5"/>
        <n v="308572.35"/>
        <n v="780234.05"/>
        <n v="212605.1"/>
        <n v="812135.05"/>
        <n v="377131"/>
        <n v="584719.3"/>
        <n v="369014.2"/>
        <n v="354600.8"/>
        <n v="188489.5"/>
        <n v="902767.25"/>
        <n v="293335.3"/>
        <n v="197168.7"/>
        <n v="724488.05"/>
        <n v="950943.05"/>
        <n v="393370.3"/>
        <n v="690663.3"/>
        <n v="414200.95"/>
        <n v="628752.75"/>
        <n v="296730.6"/>
        <n v="420750.25"/>
        <n v="269282.25"/>
        <n v="547621.8"/>
        <n v="422230.55"/>
        <n v="185557.8"/>
        <n v="406527.8"/>
        <n v="478697.85"/>
        <n v="487677.75"/>
        <n v="250660.35"/>
        <n v="154470"/>
        <n v="587955.95"/>
        <n v="198537.65"/>
        <n v="463502.9"/>
        <n v="134668.45"/>
        <n v="601171.4"/>
        <n v="680497.55"/>
        <n v="599530.75"/>
        <n v="356205.6"/>
        <n v="535787.65"/>
        <n v="554392.45"/>
        <n v="354405.1"/>
        <n v="339701.95"/>
        <n v="255113.95"/>
        <n v="830719.9"/>
        <n v="226641.5"/>
        <n v="243733.9"/>
        <n v="529396.05"/>
        <n v="428317"/>
        <n v="390794.85"/>
        <n v="321907.5"/>
        <n v="327839.3"/>
      </sharedItems>
    </cacheField>
    <cacheField name="Actual_Days" numFmtId="0">
      <sharedItems containsSemiMixedTypes="0" containsString="0" containsNumber="1" containsInteger="1" minValue="92" maxValue="270" count="176">
        <n v="234"/>
        <n v="189"/>
        <n v="213"/>
        <n v="262"/>
        <n v="221"/>
        <n v="178"/>
        <n v="242"/>
        <n v="161"/>
        <n v="169"/>
        <n v="134"/>
        <n v="210"/>
        <n v="182"/>
        <n v="173"/>
        <n v="157"/>
        <n v="124"/>
        <n v="196"/>
        <n v="270"/>
        <n v="114"/>
        <n v="176"/>
        <n v="229"/>
        <n v="202"/>
        <n v="201"/>
        <n v="147"/>
        <n v="207"/>
        <n v="238"/>
        <n v="152"/>
        <n v="131"/>
        <n v="226"/>
        <n v="142"/>
        <n v="154"/>
        <n v="228"/>
        <n v="141"/>
        <n v="227"/>
        <n v="215"/>
        <n v="232"/>
        <n v="195"/>
        <n v="177"/>
        <n v="175"/>
        <n v="146"/>
        <n v="150"/>
        <n v="122"/>
        <n v="172"/>
        <n v="239"/>
        <n v="102"/>
        <n v="190"/>
        <n v="117"/>
        <n v="241"/>
        <n v="121"/>
        <n v="109"/>
        <n v="93"/>
        <n v="204"/>
        <n v="245"/>
        <n v="222"/>
        <n v="108"/>
        <n v="187"/>
        <n v="113"/>
        <n v="267"/>
        <n v="158"/>
        <n v="235"/>
        <n v="125"/>
        <n v="231"/>
        <n v="137"/>
        <n v="180"/>
        <n v="185"/>
        <n v="181"/>
        <n v="171"/>
        <n v="155"/>
        <n v="94"/>
        <n v="243"/>
        <n v="225"/>
        <n v="214"/>
        <n v="127"/>
        <n v="236"/>
        <n v="197"/>
        <n v="244"/>
        <n v="120"/>
        <n v="149"/>
        <n v="159"/>
        <n v="128"/>
        <n v="95"/>
        <n v="129"/>
        <n v="183"/>
        <n v="168"/>
        <n v="107"/>
        <n v="216"/>
        <n v="156"/>
        <n v="145"/>
        <n v="237"/>
        <n v="259"/>
        <n v="138"/>
        <n v="165"/>
        <n v="250"/>
        <n v="233"/>
        <n v="179"/>
        <n v="220"/>
        <n v="217"/>
        <n v="103"/>
        <n v="186"/>
        <n v="209"/>
        <n v="203"/>
        <n v="212"/>
        <n v="254"/>
        <n v="240"/>
        <n v="111"/>
        <n v="170"/>
        <n v="263"/>
        <n v="151"/>
        <n v="104"/>
        <n v="224"/>
        <n v="246"/>
        <n v="261"/>
        <n v="200"/>
        <n v="194"/>
        <n v="199"/>
        <n v="191"/>
        <n v="265"/>
        <n v="188"/>
        <n v="167"/>
        <n v="208"/>
        <n v="140"/>
        <n v="230"/>
        <n v="97"/>
        <n v="164"/>
        <n v="139"/>
        <n v="255"/>
        <n v="205"/>
        <n v="126"/>
        <n v="119"/>
        <n v="133"/>
        <n v="160"/>
        <n v="144"/>
        <n v="112"/>
        <n v="184"/>
        <n v="116"/>
        <n v="143"/>
        <n v="269"/>
        <n v="166"/>
        <n v="258"/>
        <n v="174"/>
        <n v="106"/>
        <n v="218"/>
        <n v="162"/>
        <n v="136"/>
        <n v="198"/>
        <n v="130"/>
        <n v="211"/>
        <n v="135"/>
        <n v="248"/>
        <n v="260"/>
        <n v="251"/>
        <n v="219"/>
        <n v="123"/>
        <n v="118"/>
        <n v="266"/>
        <n v="206"/>
        <n v="223"/>
        <n v="193"/>
        <n v="101"/>
        <n v="163"/>
        <n v="249"/>
        <n v="192"/>
        <n v="148"/>
        <n v="252"/>
        <n v="96"/>
        <n v="153"/>
        <n v="132"/>
        <n v="92"/>
        <n v="256"/>
        <n v="110"/>
        <n v="98"/>
        <n v="257"/>
        <n v="105"/>
        <n v="247"/>
        <n v="99"/>
        <n v="268"/>
        <n v="115"/>
      </sharedItems>
    </cacheField>
    <cacheField name="Budget_Varience" numFmtId="0" formula="Actual_Spend-'Estimated_Budget($)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</r>
  <r>
    <x v="1"/>
    <x v="1"/>
    <x v="1"/>
    <x v="1"/>
    <x v="0"/>
    <x v="0"/>
    <x v="1"/>
    <x v="0"/>
  </r>
  <r>
    <x v="2"/>
    <x v="2"/>
    <x v="2"/>
    <x v="2"/>
    <x v="1"/>
    <x v="1"/>
    <x v="2"/>
    <x v="1"/>
  </r>
  <r>
    <x v="3"/>
    <x v="3"/>
    <x v="2"/>
    <x v="3"/>
    <x v="2"/>
    <x v="0"/>
    <x v="3"/>
    <x v="2"/>
  </r>
  <r>
    <x v="4"/>
    <x v="4"/>
    <x v="0"/>
    <x v="4"/>
    <x v="0"/>
    <x v="1"/>
    <x v="4"/>
    <x v="3"/>
  </r>
  <r>
    <x v="5"/>
    <x v="5"/>
    <x v="2"/>
    <x v="5"/>
    <x v="3"/>
    <x v="1"/>
    <x v="5"/>
    <x v="4"/>
  </r>
  <r>
    <x v="6"/>
    <x v="0"/>
    <x v="1"/>
    <x v="6"/>
    <x v="4"/>
    <x v="1"/>
    <x v="6"/>
    <x v="5"/>
  </r>
  <r>
    <x v="7"/>
    <x v="1"/>
    <x v="2"/>
    <x v="7"/>
    <x v="5"/>
    <x v="0"/>
    <x v="7"/>
    <x v="6"/>
  </r>
  <r>
    <x v="8"/>
    <x v="2"/>
    <x v="1"/>
    <x v="8"/>
    <x v="6"/>
    <x v="1"/>
    <x v="8"/>
    <x v="7"/>
  </r>
  <r>
    <x v="9"/>
    <x v="3"/>
    <x v="3"/>
    <x v="9"/>
    <x v="7"/>
    <x v="0"/>
    <x v="9"/>
    <x v="8"/>
  </r>
  <r>
    <x v="10"/>
    <x v="4"/>
    <x v="1"/>
    <x v="10"/>
    <x v="0"/>
    <x v="1"/>
    <x v="10"/>
    <x v="3"/>
  </r>
  <r>
    <x v="11"/>
    <x v="5"/>
    <x v="1"/>
    <x v="11"/>
    <x v="8"/>
    <x v="0"/>
    <x v="11"/>
    <x v="1"/>
  </r>
  <r>
    <x v="12"/>
    <x v="0"/>
    <x v="1"/>
    <x v="12"/>
    <x v="9"/>
    <x v="0"/>
    <x v="12"/>
    <x v="9"/>
  </r>
  <r>
    <x v="13"/>
    <x v="1"/>
    <x v="1"/>
    <x v="13"/>
    <x v="10"/>
    <x v="0"/>
    <x v="13"/>
    <x v="10"/>
  </r>
  <r>
    <x v="14"/>
    <x v="2"/>
    <x v="1"/>
    <x v="14"/>
    <x v="0"/>
    <x v="0"/>
    <x v="14"/>
    <x v="0"/>
  </r>
  <r>
    <x v="15"/>
    <x v="3"/>
    <x v="3"/>
    <x v="15"/>
    <x v="11"/>
    <x v="1"/>
    <x v="15"/>
    <x v="11"/>
  </r>
  <r>
    <x v="16"/>
    <x v="4"/>
    <x v="3"/>
    <x v="16"/>
    <x v="12"/>
    <x v="0"/>
    <x v="16"/>
    <x v="12"/>
  </r>
  <r>
    <x v="17"/>
    <x v="5"/>
    <x v="3"/>
    <x v="17"/>
    <x v="13"/>
    <x v="1"/>
    <x v="17"/>
    <x v="13"/>
  </r>
  <r>
    <x v="18"/>
    <x v="0"/>
    <x v="4"/>
    <x v="18"/>
    <x v="14"/>
    <x v="1"/>
    <x v="18"/>
    <x v="14"/>
  </r>
  <r>
    <x v="19"/>
    <x v="1"/>
    <x v="2"/>
    <x v="19"/>
    <x v="15"/>
    <x v="1"/>
    <x v="19"/>
    <x v="15"/>
  </r>
  <r>
    <x v="20"/>
    <x v="2"/>
    <x v="3"/>
    <x v="20"/>
    <x v="5"/>
    <x v="1"/>
    <x v="20"/>
    <x v="16"/>
  </r>
  <r>
    <x v="21"/>
    <x v="3"/>
    <x v="0"/>
    <x v="21"/>
    <x v="16"/>
    <x v="0"/>
    <x v="21"/>
    <x v="17"/>
  </r>
  <r>
    <x v="22"/>
    <x v="4"/>
    <x v="3"/>
    <x v="22"/>
    <x v="17"/>
    <x v="0"/>
    <x v="22"/>
    <x v="18"/>
  </r>
  <r>
    <x v="23"/>
    <x v="5"/>
    <x v="2"/>
    <x v="23"/>
    <x v="18"/>
    <x v="1"/>
    <x v="23"/>
    <x v="19"/>
  </r>
  <r>
    <x v="24"/>
    <x v="0"/>
    <x v="2"/>
    <x v="24"/>
    <x v="0"/>
    <x v="0"/>
    <x v="24"/>
    <x v="0"/>
  </r>
  <r>
    <x v="25"/>
    <x v="1"/>
    <x v="3"/>
    <x v="25"/>
    <x v="19"/>
    <x v="0"/>
    <x v="25"/>
    <x v="20"/>
  </r>
  <r>
    <x v="26"/>
    <x v="2"/>
    <x v="3"/>
    <x v="26"/>
    <x v="18"/>
    <x v="0"/>
    <x v="26"/>
    <x v="21"/>
  </r>
  <r>
    <x v="27"/>
    <x v="3"/>
    <x v="1"/>
    <x v="27"/>
    <x v="20"/>
    <x v="1"/>
    <x v="27"/>
    <x v="22"/>
  </r>
  <r>
    <x v="28"/>
    <x v="4"/>
    <x v="3"/>
    <x v="28"/>
    <x v="21"/>
    <x v="0"/>
    <x v="28"/>
    <x v="23"/>
  </r>
  <r>
    <x v="29"/>
    <x v="5"/>
    <x v="1"/>
    <x v="29"/>
    <x v="22"/>
    <x v="0"/>
    <x v="29"/>
    <x v="24"/>
  </r>
  <r>
    <x v="30"/>
    <x v="0"/>
    <x v="4"/>
    <x v="30"/>
    <x v="23"/>
    <x v="1"/>
    <x v="30"/>
    <x v="25"/>
  </r>
  <r>
    <x v="31"/>
    <x v="1"/>
    <x v="2"/>
    <x v="31"/>
    <x v="24"/>
    <x v="1"/>
    <x v="31"/>
    <x v="26"/>
  </r>
  <r>
    <x v="32"/>
    <x v="2"/>
    <x v="2"/>
    <x v="32"/>
    <x v="25"/>
    <x v="0"/>
    <x v="32"/>
    <x v="27"/>
  </r>
  <r>
    <x v="33"/>
    <x v="3"/>
    <x v="1"/>
    <x v="33"/>
    <x v="16"/>
    <x v="1"/>
    <x v="33"/>
    <x v="28"/>
  </r>
  <r>
    <x v="34"/>
    <x v="4"/>
    <x v="1"/>
    <x v="34"/>
    <x v="18"/>
    <x v="1"/>
    <x v="34"/>
    <x v="19"/>
  </r>
  <r>
    <x v="35"/>
    <x v="5"/>
    <x v="0"/>
    <x v="35"/>
    <x v="26"/>
    <x v="1"/>
    <x v="35"/>
    <x v="29"/>
  </r>
  <r>
    <x v="36"/>
    <x v="0"/>
    <x v="2"/>
    <x v="36"/>
    <x v="27"/>
    <x v="1"/>
    <x v="36"/>
    <x v="30"/>
  </r>
  <r>
    <x v="37"/>
    <x v="1"/>
    <x v="0"/>
    <x v="37"/>
    <x v="28"/>
    <x v="1"/>
    <x v="37"/>
    <x v="31"/>
  </r>
  <r>
    <x v="38"/>
    <x v="2"/>
    <x v="3"/>
    <x v="38"/>
    <x v="29"/>
    <x v="1"/>
    <x v="38"/>
    <x v="32"/>
  </r>
  <r>
    <x v="39"/>
    <x v="3"/>
    <x v="1"/>
    <x v="39"/>
    <x v="30"/>
    <x v="1"/>
    <x v="39"/>
    <x v="33"/>
  </r>
  <r>
    <x v="40"/>
    <x v="4"/>
    <x v="1"/>
    <x v="40"/>
    <x v="31"/>
    <x v="1"/>
    <x v="40"/>
    <x v="34"/>
  </r>
  <r>
    <x v="41"/>
    <x v="5"/>
    <x v="1"/>
    <x v="41"/>
    <x v="32"/>
    <x v="0"/>
    <x v="41"/>
    <x v="35"/>
  </r>
  <r>
    <x v="42"/>
    <x v="0"/>
    <x v="4"/>
    <x v="42"/>
    <x v="33"/>
    <x v="1"/>
    <x v="42"/>
    <x v="36"/>
  </r>
  <r>
    <x v="43"/>
    <x v="1"/>
    <x v="2"/>
    <x v="43"/>
    <x v="34"/>
    <x v="0"/>
    <x v="43"/>
    <x v="37"/>
  </r>
  <r>
    <x v="44"/>
    <x v="2"/>
    <x v="2"/>
    <x v="44"/>
    <x v="35"/>
    <x v="0"/>
    <x v="44"/>
    <x v="34"/>
  </r>
  <r>
    <x v="45"/>
    <x v="3"/>
    <x v="3"/>
    <x v="45"/>
    <x v="0"/>
    <x v="0"/>
    <x v="45"/>
    <x v="0"/>
  </r>
  <r>
    <x v="46"/>
    <x v="4"/>
    <x v="0"/>
    <x v="46"/>
    <x v="36"/>
    <x v="1"/>
    <x v="46"/>
    <x v="38"/>
  </r>
  <r>
    <x v="47"/>
    <x v="5"/>
    <x v="0"/>
    <x v="47"/>
    <x v="37"/>
    <x v="1"/>
    <x v="47"/>
    <x v="10"/>
  </r>
  <r>
    <x v="48"/>
    <x v="0"/>
    <x v="3"/>
    <x v="48"/>
    <x v="0"/>
    <x v="1"/>
    <x v="48"/>
    <x v="3"/>
  </r>
  <r>
    <x v="49"/>
    <x v="1"/>
    <x v="2"/>
    <x v="49"/>
    <x v="16"/>
    <x v="1"/>
    <x v="49"/>
    <x v="28"/>
  </r>
  <r>
    <x v="50"/>
    <x v="2"/>
    <x v="4"/>
    <x v="50"/>
    <x v="23"/>
    <x v="0"/>
    <x v="50"/>
    <x v="14"/>
  </r>
  <r>
    <x v="51"/>
    <x v="3"/>
    <x v="0"/>
    <x v="51"/>
    <x v="38"/>
    <x v="1"/>
    <x v="51"/>
    <x v="39"/>
  </r>
  <r>
    <x v="52"/>
    <x v="4"/>
    <x v="2"/>
    <x v="52"/>
    <x v="38"/>
    <x v="0"/>
    <x v="52"/>
    <x v="40"/>
  </r>
  <r>
    <x v="53"/>
    <x v="5"/>
    <x v="0"/>
    <x v="53"/>
    <x v="39"/>
    <x v="0"/>
    <x v="53"/>
    <x v="41"/>
  </r>
  <r>
    <x v="54"/>
    <x v="0"/>
    <x v="0"/>
    <x v="54"/>
    <x v="40"/>
    <x v="0"/>
    <x v="54"/>
    <x v="42"/>
  </r>
  <r>
    <x v="55"/>
    <x v="1"/>
    <x v="0"/>
    <x v="55"/>
    <x v="41"/>
    <x v="0"/>
    <x v="55"/>
    <x v="43"/>
  </r>
  <r>
    <x v="56"/>
    <x v="2"/>
    <x v="1"/>
    <x v="56"/>
    <x v="22"/>
    <x v="0"/>
    <x v="56"/>
    <x v="24"/>
  </r>
  <r>
    <x v="57"/>
    <x v="3"/>
    <x v="3"/>
    <x v="57"/>
    <x v="42"/>
    <x v="1"/>
    <x v="57"/>
    <x v="44"/>
  </r>
  <r>
    <x v="58"/>
    <x v="4"/>
    <x v="1"/>
    <x v="58"/>
    <x v="43"/>
    <x v="0"/>
    <x v="58"/>
    <x v="45"/>
  </r>
  <r>
    <x v="59"/>
    <x v="5"/>
    <x v="3"/>
    <x v="59"/>
    <x v="44"/>
    <x v="0"/>
    <x v="59"/>
    <x v="46"/>
  </r>
  <r>
    <x v="60"/>
    <x v="0"/>
    <x v="1"/>
    <x v="60"/>
    <x v="45"/>
    <x v="1"/>
    <x v="60"/>
    <x v="47"/>
  </r>
  <r>
    <x v="61"/>
    <x v="1"/>
    <x v="3"/>
    <x v="61"/>
    <x v="46"/>
    <x v="0"/>
    <x v="61"/>
    <x v="13"/>
  </r>
  <r>
    <x v="62"/>
    <x v="2"/>
    <x v="3"/>
    <x v="62"/>
    <x v="47"/>
    <x v="0"/>
    <x v="62"/>
    <x v="48"/>
  </r>
  <r>
    <x v="63"/>
    <x v="3"/>
    <x v="3"/>
    <x v="63"/>
    <x v="45"/>
    <x v="0"/>
    <x v="63"/>
    <x v="49"/>
  </r>
  <r>
    <x v="64"/>
    <x v="4"/>
    <x v="2"/>
    <x v="64"/>
    <x v="17"/>
    <x v="1"/>
    <x v="64"/>
    <x v="50"/>
  </r>
  <r>
    <x v="65"/>
    <x v="5"/>
    <x v="1"/>
    <x v="65"/>
    <x v="48"/>
    <x v="1"/>
    <x v="65"/>
    <x v="51"/>
  </r>
  <r>
    <x v="66"/>
    <x v="0"/>
    <x v="4"/>
    <x v="66"/>
    <x v="49"/>
    <x v="0"/>
    <x v="66"/>
    <x v="32"/>
  </r>
  <r>
    <x v="67"/>
    <x v="1"/>
    <x v="3"/>
    <x v="67"/>
    <x v="50"/>
    <x v="1"/>
    <x v="67"/>
    <x v="52"/>
  </r>
  <r>
    <x v="68"/>
    <x v="2"/>
    <x v="1"/>
    <x v="68"/>
    <x v="0"/>
    <x v="1"/>
    <x v="68"/>
    <x v="3"/>
  </r>
  <r>
    <x v="69"/>
    <x v="3"/>
    <x v="2"/>
    <x v="69"/>
    <x v="36"/>
    <x v="1"/>
    <x v="69"/>
    <x v="38"/>
  </r>
  <r>
    <x v="70"/>
    <x v="4"/>
    <x v="3"/>
    <x v="70"/>
    <x v="23"/>
    <x v="0"/>
    <x v="70"/>
    <x v="14"/>
  </r>
  <r>
    <x v="71"/>
    <x v="5"/>
    <x v="1"/>
    <x v="71"/>
    <x v="0"/>
    <x v="1"/>
    <x v="71"/>
    <x v="3"/>
  </r>
  <r>
    <x v="72"/>
    <x v="0"/>
    <x v="0"/>
    <x v="72"/>
    <x v="16"/>
    <x v="1"/>
    <x v="72"/>
    <x v="28"/>
  </r>
  <r>
    <x v="73"/>
    <x v="1"/>
    <x v="2"/>
    <x v="73"/>
    <x v="0"/>
    <x v="0"/>
    <x v="73"/>
    <x v="0"/>
  </r>
  <r>
    <x v="74"/>
    <x v="2"/>
    <x v="1"/>
    <x v="74"/>
    <x v="51"/>
    <x v="1"/>
    <x v="74"/>
    <x v="37"/>
  </r>
  <r>
    <x v="75"/>
    <x v="3"/>
    <x v="0"/>
    <x v="75"/>
    <x v="19"/>
    <x v="0"/>
    <x v="75"/>
    <x v="20"/>
  </r>
  <r>
    <x v="76"/>
    <x v="4"/>
    <x v="4"/>
    <x v="76"/>
    <x v="52"/>
    <x v="0"/>
    <x v="76"/>
    <x v="53"/>
  </r>
  <r>
    <x v="77"/>
    <x v="5"/>
    <x v="1"/>
    <x v="77"/>
    <x v="30"/>
    <x v="0"/>
    <x v="77"/>
    <x v="54"/>
  </r>
  <r>
    <x v="78"/>
    <x v="0"/>
    <x v="0"/>
    <x v="78"/>
    <x v="53"/>
    <x v="1"/>
    <x v="78"/>
    <x v="27"/>
  </r>
  <r>
    <x v="79"/>
    <x v="1"/>
    <x v="2"/>
    <x v="79"/>
    <x v="28"/>
    <x v="0"/>
    <x v="79"/>
    <x v="55"/>
  </r>
  <r>
    <x v="80"/>
    <x v="2"/>
    <x v="1"/>
    <x v="80"/>
    <x v="0"/>
    <x v="0"/>
    <x v="80"/>
    <x v="0"/>
  </r>
  <r>
    <x v="81"/>
    <x v="3"/>
    <x v="3"/>
    <x v="81"/>
    <x v="40"/>
    <x v="1"/>
    <x v="81"/>
    <x v="56"/>
  </r>
  <r>
    <x v="82"/>
    <x v="4"/>
    <x v="1"/>
    <x v="82"/>
    <x v="54"/>
    <x v="0"/>
    <x v="82"/>
    <x v="57"/>
  </r>
  <r>
    <x v="83"/>
    <x v="5"/>
    <x v="3"/>
    <x v="83"/>
    <x v="55"/>
    <x v="0"/>
    <x v="83"/>
    <x v="58"/>
  </r>
  <r>
    <x v="84"/>
    <x v="0"/>
    <x v="0"/>
    <x v="84"/>
    <x v="56"/>
    <x v="1"/>
    <x v="84"/>
    <x v="0"/>
  </r>
  <r>
    <x v="85"/>
    <x v="1"/>
    <x v="0"/>
    <x v="85"/>
    <x v="57"/>
    <x v="1"/>
    <x v="85"/>
    <x v="8"/>
  </r>
  <r>
    <x v="86"/>
    <x v="2"/>
    <x v="3"/>
    <x v="86"/>
    <x v="0"/>
    <x v="0"/>
    <x v="86"/>
    <x v="0"/>
  </r>
  <r>
    <x v="87"/>
    <x v="3"/>
    <x v="2"/>
    <x v="87"/>
    <x v="2"/>
    <x v="0"/>
    <x v="87"/>
    <x v="2"/>
  </r>
  <r>
    <x v="88"/>
    <x v="4"/>
    <x v="2"/>
    <x v="88"/>
    <x v="58"/>
    <x v="0"/>
    <x v="88"/>
    <x v="59"/>
  </r>
  <r>
    <x v="89"/>
    <x v="5"/>
    <x v="0"/>
    <x v="89"/>
    <x v="49"/>
    <x v="0"/>
    <x v="89"/>
    <x v="32"/>
  </r>
  <r>
    <x v="90"/>
    <x v="0"/>
    <x v="2"/>
    <x v="90"/>
    <x v="59"/>
    <x v="0"/>
    <x v="90"/>
    <x v="60"/>
  </r>
  <r>
    <x v="91"/>
    <x v="1"/>
    <x v="3"/>
    <x v="91"/>
    <x v="47"/>
    <x v="1"/>
    <x v="91"/>
    <x v="61"/>
  </r>
  <r>
    <x v="92"/>
    <x v="2"/>
    <x v="3"/>
    <x v="92"/>
    <x v="60"/>
    <x v="0"/>
    <x v="92"/>
    <x v="62"/>
  </r>
  <r>
    <x v="93"/>
    <x v="3"/>
    <x v="1"/>
    <x v="93"/>
    <x v="37"/>
    <x v="1"/>
    <x v="93"/>
    <x v="10"/>
  </r>
  <r>
    <x v="94"/>
    <x v="4"/>
    <x v="1"/>
    <x v="94"/>
    <x v="46"/>
    <x v="1"/>
    <x v="94"/>
    <x v="63"/>
  </r>
  <r>
    <x v="95"/>
    <x v="5"/>
    <x v="0"/>
    <x v="95"/>
    <x v="61"/>
    <x v="0"/>
    <x v="95"/>
    <x v="64"/>
  </r>
  <r>
    <x v="96"/>
    <x v="0"/>
    <x v="0"/>
    <x v="96"/>
    <x v="62"/>
    <x v="0"/>
    <x v="96"/>
    <x v="65"/>
  </r>
  <r>
    <x v="97"/>
    <x v="1"/>
    <x v="3"/>
    <x v="97"/>
    <x v="63"/>
    <x v="1"/>
    <x v="97"/>
    <x v="66"/>
  </r>
  <r>
    <x v="98"/>
    <x v="2"/>
    <x v="2"/>
    <x v="98"/>
    <x v="64"/>
    <x v="0"/>
    <x v="98"/>
    <x v="67"/>
  </r>
  <r>
    <x v="99"/>
    <x v="3"/>
    <x v="3"/>
    <x v="99"/>
    <x v="65"/>
    <x v="1"/>
    <x v="99"/>
    <x v="68"/>
  </r>
  <r>
    <x v="100"/>
    <x v="4"/>
    <x v="1"/>
    <x v="100"/>
    <x v="66"/>
    <x v="0"/>
    <x v="100"/>
    <x v="69"/>
  </r>
  <r>
    <x v="101"/>
    <x v="5"/>
    <x v="0"/>
    <x v="101"/>
    <x v="67"/>
    <x v="1"/>
    <x v="101"/>
    <x v="70"/>
  </r>
  <r>
    <x v="102"/>
    <x v="0"/>
    <x v="0"/>
    <x v="102"/>
    <x v="68"/>
    <x v="1"/>
    <x v="102"/>
    <x v="71"/>
  </r>
  <r>
    <x v="103"/>
    <x v="1"/>
    <x v="0"/>
    <x v="103"/>
    <x v="12"/>
    <x v="1"/>
    <x v="103"/>
    <x v="21"/>
  </r>
  <r>
    <x v="104"/>
    <x v="2"/>
    <x v="3"/>
    <x v="104"/>
    <x v="63"/>
    <x v="0"/>
    <x v="104"/>
    <x v="71"/>
  </r>
  <r>
    <x v="105"/>
    <x v="3"/>
    <x v="1"/>
    <x v="105"/>
    <x v="40"/>
    <x v="0"/>
    <x v="105"/>
    <x v="42"/>
  </r>
  <r>
    <x v="106"/>
    <x v="4"/>
    <x v="3"/>
    <x v="106"/>
    <x v="15"/>
    <x v="1"/>
    <x v="106"/>
    <x v="15"/>
  </r>
  <r>
    <x v="107"/>
    <x v="5"/>
    <x v="3"/>
    <x v="107"/>
    <x v="69"/>
    <x v="1"/>
    <x v="107"/>
    <x v="72"/>
  </r>
  <r>
    <x v="108"/>
    <x v="0"/>
    <x v="1"/>
    <x v="108"/>
    <x v="5"/>
    <x v="1"/>
    <x v="108"/>
    <x v="16"/>
  </r>
  <r>
    <x v="109"/>
    <x v="1"/>
    <x v="2"/>
    <x v="109"/>
    <x v="7"/>
    <x v="1"/>
    <x v="109"/>
    <x v="73"/>
  </r>
  <r>
    <x v="110"/>
    <x v="2"/>
    <x v="2"/>
    <x v="110"/>
    <x v="4"/>
    <x v="1"/>
    <x v="110"/>
    <x v="5"/>
  </r>
  <r>
    <x v="111"/>
    <x v="3"/>
    <x v="1"/>
    <x v="111"/>
    <x v="70"/>
    <x v="1"/>
    <x v="111"/>
    <x v="74"/>
  </r>
  <r>
    <x v="112"/>
    <x v="4"/>
    <x v="0"/>
    <x v="112"/>
    <x v="71"/>
    <x v="1"/>
    <x v="112"/>
    <x v="75"/>
  </r>
  <r>
    <x v="113"/>
    <x v="5"/>
    <x v="0"/>
    <x v="113"/>
    <x v="33"/>
    <x v="0"/>
    <x v="113"/>
    <x v="76"/>
  </r>
  <r>
    <x v="114"/>
    <x v="0"/>
    <x v="3"/>
    <x v="114"/>
    <x v="35"/>
    <x v="0"/>
    <x v="114"/>
    <x v="34"/>
  </r>
  <r>
    <x v="115"/>
    <x v="1"/>
    <x v="1"/>
    <x v="115"/>
    <x v="72"/>
    <x v="0"/>
    <x v="115"/>
    <x v="77"/>
  </r>
  <r>
    <x v="116"/>
    <x v="2"/>
    <x v="0"/>
    <x v="116"/>
    <x v="73"/>
    <x v="0"/>
    <x v="116"/>
    <x v="78"/>
  </r>
  <r>
    <x v="117"/>
    <x v="3"/>
    <x v="4"/>
    <x v="117"/>
    <x v="43"/>
    <x v="0"/>
    <x v="117"/>
    <x v="45"/>
  </r>
  <r>
    <x v="118"/>
    <x v="4"/>
    <x v="3"/>
    <x v="118"/>
    <x v="74"/>
    <x v="0"/>
    <x v="118"/>
    <x v="79"/>
  </r>
  <r>
    <x v="119"/>
    <x v="5"/>
    <x v="4"/>
    <x v="119"/>
    <x v="13"/>
    <x v="0"/>
    <x v="119"/>
    <x v="80"/>
  </r>
  <r>
    <x v="120"/>
    <x v="0"/>
    <x v="2"/>
    <x v="120"/>
    <x v="75"/>
    <x v="1"/>
    <x v="120"/>
    <x v="81"/>
  </r>
  <r>
    <x v="121"/>
    <x v="1"/>
    <x v="1"/>
    <x v="121"/>
    <x v="76"/>
    <x v="1"/>
    <x v="121"/>
    <x v="82"/>
  </r>
  <r>
    <x v="122"/>
    <x v="2"/>
    <x v="3"/>
    <x v="122"/>
    <x v="77"/>
    <x v="0"/>
    <x v="122"/>
    <x v="83"/>
  </r>
  <r>
    <x v="123"/>
    <x v="3"/>
    <x v="1"/>
    <x v="123"/>
    <x v="47"/>
    <x v="1"/>
    <x v="123"/>
    <x v="61"/>
  </r>
  <r>
    <x v="124"/>
    <x v="4"/>
    <x v="3"/>
    <x v="124"/>
    <x v="78"/>
    <x v="0"/>
    <x v="124"/>
    <x v="19"/>
  </r>
  <r>
    <x v="125"/>
    <x v="5"/>
    <x v="3"/>
    <x v="125"/>
    <x v="79"/>
    <x v="1"/>
    <x v="125"/>
    <x v="84"/>
  </r>
  <r>
    <x v="126"/>
    <x v="0"/>
    <x v="4"/>
    <x v="126"/>
    <x v="80"/>
    <x v="0"/>
    <x v="126"/>
    <x v="85"/>
  </r>
  <r>
    <x v="127"/>
    <x v="1"/>
    <x v="2"/>
    <x v="127"/>
    <x v="0"/>
    <x v="1"/>
    <x v="127"/>
    <x v="3"/>
  </r>
  <r>
    <x v="128"/>
    <x v="2"/>
    <x v="3"/>
    <x v="128"/>
    <x v="3"/>
    <x v="1"/>
    <x v="128"/>
    <x v="4"/>
  </r>
  <r>
    <x v="129"/>
    <x v="3"/>
    <x v="2"/>
    <x v="129"/>
    <x v="69"/>
    <x v="1"/>
    <x v="129"/>
    <x v="72"/>
  </r>
  <r>
    <x v="130"/>
    <x v="4"/>
    <x v="2"/>
    <x v="130"/>
    <x v="81"/>
    <x v="0"/>
    <x v="130"/>
    <x v="86"/>
  </r>
  <r>
    <x v="131"/>
    <x v="5"/>
    <x v="2"/>
    <x v="131"/>
    <x v="48"/>
    <x v="1"/>
    <x v="131"/>
    <x v="51"/>
  </r>
  <r>
    <x v="132"/>
    <x v="0"/>
    <x v="2"/>
    <x v="132"/>
    <x v="28"/>
    <x v="0"/>
    <x v="132"/>
    <x v="55"/>
  </r>
  <r>
    <x v="133"/>
    <x v="1"/>
    <x v="1"/>
    <x v="133"/>
    <x v="16"/>
    <x v="0"/>
    <x v="133"/>
    <x v="17"/>
  </r>
  <r>
    <x v="134"/>
    <x v="2"/>
    <x v="1"/>
    <x v="134"/>
    <x v="82"/>
    <x v="0"/>
    <x v="134"/>
    <x v="87"/>
  </r>
  <r>
    <x v="135"/>
    <x v="3"/>
    <x v="3"/>
    <x v="135"/>
    <x v="62"/>
    <x v="0"/>
    <x v="135"/>
    <x v="65"/>
  </r>
  <r>
    <x v="136"/>
    <x v="4"/>
    <x v="1"/>
    <x v="136"/>
    <x v="59"/>
    <x v="1"/>
    <x v="136"/>
    <x v="88"/>
  </r>
  <r>
    <x v="137"/>
    <x v="5"/>
    <x v="2"/>
    <x v="137"/>
    <x v="83"/>
    <x v="0"/>
    <x v="137"/>
    <x v="89"/>
  </r>
  <r>
    <x v="138"/>
    <x v="0"/>
    <x v="1"/>
    <x v="138"/>
    <x v="0"/>
    <x v="0"/>
    <x v="138"/>
    <x v="0"/>
  </r>
  <r>
    <x v="139"/>
    <x v="1"/>
    <x v="2"/>
    <x v="139"/>
    <x v="84"/>
    <x v="0"/>
    <x v="139"/>
    <x v="90"/>
  </r>
  <r>
    <x v="140"/>
    <x v="2"/>
    <x v="3"/>
    <x v="140"/>
    <x v="85"/>
    <x v="1"/>
    <x v="140"/>
    <x v="6"/>
  </r>
  <r>
    <x v="141"/>
    <x v="3"/>
    <x v="2"/>
    <x v="141"/>
    <x v="86"/>
    <x v="1"/>
    <x v="141"/>
    <x v="91"/>
  </r>
  <r>
    <x v="142"/>
    <x v="4"/>
    <x v="0"/>
    <x v="142"/>
    <x v="87"/>
    <x v="0"/>
    <x v="142"/>
    <x v="38"/>
  </r>
  <r>
    <x v="143"/>
    <x v="5"/>
    <x v="1"/>
    <x v="143"/>
    <x v="88"/>
    <x v="1"/>
    <x v="143"/>
    <x v="92"/>
  </r>
  <r>
    <x v="144"/>
    <x v="0"/>
    <x v="3"/>
    <x v="144"/>
    <x v="37"/>
    <x v="0"/>
    <x v="144"/>
    <x v="11"/>
  </r>
  <r>
    <x v="145"/>
    <x v="1"/>
    <x v="1"/>
    <x v="145"/>
    <x v="70"/>
    <x v="1"/>
    <x v="145"/>
    <x v="74"/>
  </r>
  <r>
    <x v="146"/>
    <x v="2"/>
    <x v="1"/>
    <x v="146"/>
    <x v="9"/>
    <x v="0"/>
    <x v="146"/>
    <x v="9"/>
  </r>
  <r>
    <x v="147"/>
    <x v="3"/>
    <x v="4"/>
    <x v="147"/>
    <x v="89"/>
    <x v="0"/>
    <x v="147"/>
    <x v="93"/>
  </r>
  <r>
    <x v="148"/>
    <x v="4"/>
    <x v="3"/>
    <x v="148"/>
    <x v="90"/>
    <x v="0"/>
    <x v="148"/>
    <x v="94"/>
  </r>
  <r>
    <x v="149"/>
    <x v="5"/>
    <x v="2"/>
    <x v="149"/>
    <x v="91"/>
    <x v="0"/>
    <x v="149"/>
    <x v="73"/>
  </r>
  <r>
    <x v="150"/>
    <x v="0"/>
    <x v="0"/>
    <x v="150"/>
    <x v="29"/>
    <x v="1"/>
    <x v="150"/>
    <x v="32"/>
  </r>
  <r>
    <x v="151"/>
    <x v="1"/>
    <x v="1"/>
    <x v="151"/>
    <x v="63"/>
    <x v="1"/>
    <x v="151"/>
    <x v="66"/>
  </r>
  <r>
    <x v="152"/>
    <x v="2"/>
    <x v="0"/>
    <x v="152"/>
    <x v="22"/>
    <x v="0"/>
    <x v="152"/>
    <x v="24"/>
  </r>
  <r>
    <x v="153"/>
    <x v="3"/>
    <x v="2"/>
    <x v="153"/>
    <x v="2"/>
    <x v="0"/>
    <x v="153"/>
    <x v="2"/>
  </r>
  <r>
    <x v="154"/>
    <x v="4"/>
    <x v="3"/>
    <x v="154"/>
    <x v="34"/>
    <x v="0"/>
    <x v="154"/>
    <x v="37"/>
  </r>
  <r>
    <x v="155"/>
    <x v="5"/>
    <x v="2"/>
    <x v="155"/>
    <x v="48"/>
    <x v="0"/>
    <x v="155"/>
    <x v="95"/>
  </r>
  <r>
    <x v="156"/>
    <x v="0"/>
    <x v="3"/>
    <x v="156"/>
    <x v="24"/>
    <x v="0"/>
    <x v="156"/>
    <x v="96"/>
  </r>
  <r>
    <x v="157"/>
    <x v="1"/>
    <x v="1"/>
    <x v="157"/>
    <x v="92"/>
    <x v="1"/>
    <x v="157"/>
    <x v="62"/>
  </r>
  <r>
    <x v="158"/>
    <x v="2"/>
    <x v="3"/>
    <x v="158"/>
    <x v="54"/>
    <x v="1"/>
    <x v="158"/>
    <x v="97"/>
  </r>
  <r>
    <x v="159"/>
    <x v="3"/>
    <x v="3"/>
    <x v="159"/>
    <x v="48"/>
    <x v="0"/>
    <x v="159"/>
    <x v="95"/>
  </r>
  <r>
    <x v="160"/>
    <x v="4"/>
    <x v="1"/>
    <x v="160"/>
    <x v="93"/>
    <x v="0"/>
    <x v="160"/>
    <x v="36"/>
  </r>
  <r>
    <x v="161"/>
    <x v="5"/>
    <x v="1"/>
    <x v="161"/>
    <x v="61"/>
    <x v="1"/>
    <x v="161"/>
    <x v="98"/>
  </r>
  <r>
    <x v="162"/>
    <x v="0"/>
    <x v="2"/>
    <x v="162"/>
    <x v="22"/>
    <x v="0"/>
    <x v="162"/>
    <x v="24"/>
  </r>
  <r>
    <x v="163"/>
    <x v="1"/>
    <x v="1"/>
    <x v="163"/>
    <x v="0"/>
    <x v="0"/>
    <x v="163"/>
    <x v="0"/>
  </r>
  <r>
    <x v="164"/>
    <x v="2"/>
    <x v="1"/>
    <x v="164"/>
    <x v="57"/>
    <x v="0"/>
    <x v="164"/>
    <x v="31"/>
  </r>
  <r>
    <x v="165"/>
    <x v="3"/>
    <x v="0"/>
    <x v="165"/>
    <x v="34"/>
    <x v="1"/>
    <x v="165"/>
    <x v="99"/>
  </r>
  <r>
    <x v="166"/>
    <x v="4"/>
    <x v="4"/>
    <x v="166"/>
    <x v="94"/>
    <x v="0"/>
    <x v="166"/>
    <x v="100"/>
  </r>
  <r>
    <x v="167"/>
    <x v="5"/>
    <x v="4"/>
    <x v="167"/>
    <x v="67"/>
    <x v="1"/>
    <x v="167"/>
    <x v="70"/>
  </r>
  <r>
    <x v="168"/>
    <x v="0"/>
    <x v="3"/>
    <x v="168"/>
    <x v="25"/>
    <x v="1"/>
    <x v="168"/>
    <x v="101"/>
  </r>
  <r>
    <x v="169"/>
    <x v="1"/>
    <x v="4"/>
    <x v="169"/>
    <x v="95"/>
    <x v="1"/>
    <x v="169"/>
    <x v="77"/>
  </r>
  <r>
    <x v="170"/>
    <x v="2"/>
    <x v="3"/>
    <x v="170"/>
    <x v="57"/>
    <x v="1"/>
    <x v="170"/>
    <x v="8"/>
  </r>
  <r>
    <x v="171"/>
    <x v="3"/>
    <x v="1"/>
    <x v="171"/>
    <x v="57"/>
    <x v="0"/>
    <x v="171"/>
    <x v="31"/>
  </r>
  <r>
    <x v="172"/>
    <x v="4"/>
    <x v="0"/>
    <x v="172"/>
    <x v="94"/>
    <x v="1"/>
    <x v="172"/>
    <x v="102"/>
  </r>
  <r>
    <x v="173"/>
    <x v="5"/>
    <x v="2"/>
    <x v="173"/>
    <x v="0"/>
    <x v="1"/>
    <x v="173"/>
    <x v="3"/>
  </r>
  <r>
    <x v="174"/>
    <x v="0"/>
    <x v="1"/>
    <x v="174"/>
    <x v="57"/>
    <x v="1"/>
    <x v="174"/>
    <x v="8"/>
  </r>
  <r>
    <x v="175"/>
    <x v="1"/>
    <x v="0"/>
    <x v="175"/>
    <x v="96"/>
    <x v="1"/>
    <x v="175"/>
    <x v="89"/>
  </r>
  <r>
    <x v="176"/>
    <x v="2"/>
    <x v="0"/>
    <x v="176"/>
    <x v="97"/>
    <x v="0"/>
    <x v="176"/>
    <x v="103"/>
  </r>
  <r>
    <x v="177"/>
    <x v="3"/>
    <x v="0"/>
    <x v="177"/>
    <x v="98"/>
    <x v="0"/>
    <x v="177"/>
    <x v="44"/>
  </r>
  <r>
    <x v="178"/>
    <x v="4"/>
    <x v="3"/>
    <x v="178"/>
    <x v="99"/>
    <x v="1"/>
    <x v="178"/>
    <x v="104"/>
  </r>
  <r>
    <x v="179"/>
    <x v="5"/>
    <x v="1"/>
    <x v="179"/>
    <x v="55"/>
    <x v="1"/>
    <x v="179"/>
    <x v="105"/>
  </r>
  <r>
    <x v="180"/>
    <x v="0"/>
    <x v="1"/>
    <x v="180"/>
    <x v="100"/>
    <x v="1"/>
    <x v="180"/>
    <x v="106"/>
  </r>
  <r>
    <x v="181"/>
    <x v="1"/>
    <x v="2"/>
    <x v="181"/>
    <x v="101"/>
    <x v="0"/>
    <x v="181"/>
    <x v="107"/>
  </r>
  <r>
    <x v="182"/>
    <x v="2"/>
    <x v="1"/>
    <x v="182"/>
    <x v="102"/>
    <x v="1"/>
    <x v="182"/>
    <x v="108"/>
  </r>
  <r>
    <x v="183"/>
    <x v="3"/>
    <x v="0"/>
    <x v="183"/>
    <x v="103"/>
    <x v="1"/>
    <x v="183"/>
    <x v="109"/>
  </r>
  <r>
    <x v="184"/>
    <x v="4"/>
    <x v="1"/>
    <x v="184"/>
    <x v="104"/>
    <x v="1"/>
    <x v="184"/>
    <x v="110"/>
  </r>
  <r>
    <x v="185"/>
    <x v="5"/>
    <x v="2"/>
    <x v="185"/>
    <x v="0"/>
    <x v="1"/>
    <x v="185"/>
    <x v="3"/>
  </r>
  <r>
    <x v="186"/>
    <x v="0"/>
    <x v="1"/>
    <x v="186"/>
    <x v="27"/>
    <x v="0"/>
    <x v="186"/>
    <x v="111"/>
  </r>
  <r>
    <x v="187"/>
    <x v="1"/>
    <x v="2"/>
    <x v="187"/>
    <x v="99"/>
    <x v="1"/>
    <x v="187"/>
    <x v="104"/>
  </r>
  <r>
    <x v="188"/>
    <x v="2"/>
    <x v="3"/>
    <x v="188"/>
    <x v="36"/>
    <x v="1"/>
    <x v="188"/>
    <x v="38"/>
  </r>
  <r>
    <x v="189"/>
    <x v="3"/>
    <x v="3"/>
    <x v="189"/>
    <x v="48"/>
    <x v="1"/>
    <x v="189"/>
    <x v="51"/>
  </r>
  <r>
    <x v="190"/>
    <x v="4"/>
    <x v="3"/>
    <x v="190"/>
    <x v="105"/>
    <x v="1"/>
    <x v="190"/>
    <x v="112"/>
  </r>
  <r>
    <x v="191"/>
    <x v="5"/>
    <x v="2"/>
    <x v="191"/>
    <x v="62"/>
    <x v="1"/>
    <x v="191"/>
    <x v="113"/>
  </r>
  <r>
    <x v="192"/>
    <x v="0"/>
    <x v="2"/>
    <x v="192"/>
    <x v="7"/>
    <x v="0"/>
    <x v="192"/>
    <x v="8"/>
  </r>
  <r>
    <x v="193"/>
    <x v="1"/>
    <x v="3"/>
    <x v="193"/>
    <x v="106"/>
    <x v="1"/>
    <x v="193"/>
    <x v="18"/>
  </r>
  <r>
    <x v="194"/>
    <x v="2"/>
    <x v="0"/>
    <x v="194"/>
    <x v="17"/>
    <x v="1"/>
    <x v="194"/>
    <x v="50"/>
  </r>
  <r>
    <x v="195"/>
    <x v="3"/>
    <x v="1"/>
    <x v="195"/>
    <x v="107"/>
    <x v="0"/>
    <x v="195"/>
    <x v="30"/>
  </r>
  <r>
    <x v="196"/>
    <x v="4"/>
    <x v="2"/>
    <x v="196"/>
    <x v="0"/>
    <x v="1"/>
    <x v="196"/>
    <x v="3"/>
  </r>
  <r>
    <x v="197"/>
    <x v="5"/>
    <x v="3"/>
    <x v="197"/>
    <x v="108"/>
    <x v="0"/>
    <x v="197"/>
    <x v="75"/>
  </r>
  <r>
    <x v="198"/>
    <x v="0"/>
    <x v="1"/>
    <x v="198"/>
    <x v="109"/>
    <x v="0"/>
    <x v="198"/>
    <x v="99"/>
  </r>
  <r>
    <x v="199"/>
    <x v="1"/>
    <x v="1"/>
    <x v="199"/>
    <x v="109"/>
    <x v="1"/>
    <x v="199"/>
    <x v="60"/>
  </r>
  <r>
    <x v="200"/>
    <x v="2"/>
    <x v="2"/>
    <x v="200"/>
    <x v="8"/>
    <x v="0"/>
    <x v="200"/>
    <x v="1"/>
  </r>
  <r>
    <x v="201"/>
    <x v="3"/>
    <x v="0"/>
    <x v="201"/>
    <x v="110"/>
    <x v="0"/>
    <x v="201"/>
    <x v="114"/>
  </r>
  <r>
    <x v="202"/>
    <x v="4"/>
    <x v="2"/>
    <x v="202"/>
    <x v="111"/>
    <x v="1"/>
    <x v="202"/>
    <x v="90"/>
  </r>
  <r>
    <x v="203"/>
    <x v="5"/>
    <x v="3"/>
    <x v="203"/>
    <x v="0"/>
    <x v="0"/>
    <x v="203"/>
    <x v="0"/>
  </r>
  <r>
    <x v="204"/>
    <x v="0"/>
    <x v="1"/>
    <x v="204"/>
    <x v="82"/>
    <x v="1"/>
    <x v="204"/>
    <x v="115"/>
  </r>
  <r>
    <x v="205"/>
    <x v="1"/>
    <x v="1"/>
    <x v="205"/>
    <x v="112"/>
    <x v="1"/>
    <x v="205"/>
    <x v="116"/>
  </r>
  <r>
    <x v="206"/>
    <x v="2"/>
    <x v="1"/>
    <x v="206"/>
    <x v="113"/>
    <x v="1"/>
    <x v="206"/>
    <x v="117"/>
  </r>
  <r>
    <x v="207"/>
    <x v="3"/>
    <x v="1"/>
    <x v="207"/>
    <x v="99"/>
    <x v="1"/>
    <x v="207"/>
    <x v="104"/>
  </r>
  <r>
    <x v="208"/>
    <x v="4"/>
    <x v="3"/>
    <x v="208"/>
    <x v="8"/>
    <x v="1"/>
    <x v="208"/>
    <x v="95"/>
  </r>
  <r>
    <x v="209"/>
    <x v="5"/>
    <x v="2"/>
    <x v="209"/>
    <x v="40"/>
    <x v="0"/>
    <x v="209"/>
    <x v="42"/>
  </r>
  <r>
    <x v="210"/>
    <x v="0"/>
    <x v="3"/>
    <x v="210"/>
    <x v="60"/>
    <x v="0"/>
    <x v="210"/>
    <x v="62"/>
  </r>
  <r>
    <x v="211"/>
    <x v="1"/>
    <x v="2"/>
    <x v="211"/>
    <x v="101"/>
    <x v="0"/>
    <x v="211"/>
    <x v="107"/>
  </r>
  <r>
    <x v="212"/>
    <x v="2"/>
    <x v="3"/>
    <x v="212"/>
    <x v="60"/>
    <x v="1"/>
    <x v="212"/>
    <x v="118"/>
  </r>
  <r>
    <x v="213"/>
    <x v="3"/>
    <x v="3"/>
    <x v="213"/>
    <x v="114"/>
    <x v="1"/>
    <x v="213"/>
    <x v="119"/>
  </r>
  <r>
    <x v="214"/>
    <x v="4"/>
    <x v="1"/>
    <x v="214"/>
    <x v="19"/>
    <x v="1"/>
    <x v="214"/>
    <x v="120"/>
  </r>
  <r>
    <x v="215"/>
    <x v="5"/>
    <x v="0"/>
    <x v="215"/>
    <x v="115"/>
    <x v="0"/>
    <x v="215"/>
    <x v="121"/>
  </r>
  <r>
    <x v="216"/>
    <x v="0"/>
    <x v="0"/>
    <x v="216"/>
    <x v="96"/>
    <x v="1"/>
    <x v="216"/>
    <x v="89"/>
  </r>
  <r>
    <x v="217"/>
    <x v="1"/>
    <x v="3"/>
    <x v="217"/>
    <x v="116"/>
    <x v="0"/>
    <x v="217"/>
    <x v="122"/>
  </r>
  <r>
    <x v="218"/>
    <x v="2"/>
    <x v="1"/>
    <x v="218"/>
    <x v="0"/>
    <x v="1"/>
    <x v="218"/>
    <x v="3"/>
  </r>
  <r>
    <x v="219"/>
    <x v="3"/>
    <x v="3"/>
    <x v="219"/>
    <x v="75"/>
    <x v="0"/>
    <x v="219"/>
    <x v="66"/>
  </r>
  <r>
    <x v="220"/>
    <x v="4"/>
    <x v="0"/>
    <x v="220"/>
    <x v="25"/>
    <x v="1"/>
    <x v="220"/>
    <x v="101"/>
  </r>
  <r>
    <x v="221"/>
    <x v="5"/>
    <x v="0"/>
    <x v="221"/>
    <x v="86"/>
    <x v="0"/>
    <x v="221"/>
    <x v="52"/>
  </r>
  <r>
    <x v="222"/>
    <x v="0"/>
    <x v="2"/>
    <x v="222"/>
    <x v="0"/>
    <x v="0"/>
    <x v="222"/>
    <x v="0"/>
  </r>
  <r>
    <x v="223"/>
    <x v="1"/>
    <x v="1"/>
    <x v="223"/>
    <x v="46"/>
    <x v="1"/>
    <x v="223"/>
    <x v="63"/>
  </r>
  <r>
    <x v="224"/>
    <x v="2"/>
    <x v="2"/>
    <x v="224"/>
    <x v="5"/>
    <x v="0"/>
    <x v="224"/>
    <x v="6"/>
  </r>
  <r>
    <x v="225"/>
    <x v="3"/>
    <x v="0"/>
    <x v="225"/>
    <x v="85"/>
    <x v="0"/>
    <x v="225"/>
    <x v="70"/>
  </r>
  <r>
    <x v="226"/>
    <x v="4"/>
    <x v="0"/>
    <x v="226"/>
    <x v="37"/>
    <x v="1"/>
    <x v="226"/>
    <x v="10"/>
  </r>
  <r>
    <x v="227"/>
    <x v="5"/>
    <x v="1"/>
    <x v="227"/>
    <x v="0"/>
    <x v="1"/>
    <x v="227"/>
    <x v="3"/>
  </r>
  <r>
    <x v="228"/>
    <x v="0"/>
    <x v="3"/>
    <x v="228"/>
    <x v="97"/>
    <x v="1"/>
    <x v="228"/>
    <x v="123"/>
  </r>
  <r>
    <x v="229"/>
    <x v="1"/>
    <x v="3"/>
    <x v="229"/>
    <x v="49"/>
    <x v="1"/>
    <x v="229"/>
    <x v="124"/>
  </r>
  <r>
    <x v="230"/>
    <x v="2"/>
    <x v="1"/>
    <x v="230"/>
    <x v="50"/>
    <x v="0"/>
    <x v="230"/>
    <x v="112"/>
  </r>
  <r>
    <x v="231"/>
    <x v="3"/>
    <x v="1"/>
    <x v="231"/>
    <x v="117"/>
    <x v="0"/>
    <x v="231"/>
    <x v="120"/>
  </r>
  <r>
    <x v="232"/>
    <x v="4"/>
    <x v="0"/>
    <x v="232"/>
    <x v="85"/>
    <x v="0"/>
    <x v="232"/>
    <x v="70"/>
  </r>
  <r>
    <x v="233"/>
    <x v="5"/>
    <x v="0"/>
    <x v="233"/>
    <x v="88"/>
    <x v="0"/>
    <x v="233"/>
    <x v="125"/>
  </r>
  <r>
    <x v="234"/>
    <x v="0"/>
    <x v="2"/>
    <x v="234"/>
    <x v="99"/>
    <x v="0"/>
    <x v="234"/>
    <x v="28"/>
  </r>
  <r>
    <x v="235"/>
    <x v="1"/>
    <x v="2"/>
    <x v="235"/>
    <x v="8"/>
    <x v="1"/>
    <x v="235"/>
    <x v="95"/>
  </r>
  <r>
    <x v="236"/>
    <x v="2"/>
    <x v="0"/>
    <x v="236"/>
    <x v="62"/>
    <x v="0"/>
    <x v="236"/>
    <x v="65"/>
  </r>
  <r>
    <x v="237"/>
    <x v="3"/>
    <x v="0"/>
    <x v="237"/>
    <x v="26"/>
    <x v="0"/>
    <x v="237"/>
    <x v="126"/>
  </r>
  <r>
    <x v="238"/>
    <x v="4"/>
    <x v="2"/>
    <x v="238"/>
    <x v="93"/>
    <x v="1"/>
    <x v="238"/>
    <x v="125"/>
  </r>
  <r>
    <x v="239"/>
    <x v="5"/>
    <x v="0"/>
    <x v="239"/>
    <x v="7"/>
    <x v="0"/>
    <x v="239"/>
    <x v="8"/>
  </r>
  <r>
    <x v="240"/>
    <x v="0"/>
    <x v="2"/>
    <x v="240"/>
    <x v="20"/>
    <x v="0"/>
    <x v="240"/>
    <x v="127"/>
  </r>
  <r>
    <x v="241"/>
    <x v="1"/>
    <x v="0"/>
    <x v="241"/>
    <x v="0"/>
    <x v="0"/>
    <x v="241"/>
    <x v="0"/>
  </r>
  <r>
    <x v="242"/>
    <x v="2"/>
    <x v="2"/>
    <x v="242"/>
    <x v="6"/>
    <x v="0"/>
    <x v="242"/>
    <x v="128"/>
  </r>
  <r>
    <x v="243"/>
    <x v="3"/>
    <x v="3"/>
    <x v="243"/>
    <x v="118"/>
    <x v="1"/>
    <x v="243"/>
    <x v="129"/>
  </r>
  <r>
    <x v="244"/>
    <x v="4"/>
    <x v="2"/>
    <x v="244"/>
    <x v="21"/>
    <x v="0"/>
    <x v="244"/>
    <x v="23"/>
  </r>
  <r>
    <x v="245"/>
    <x v="5"/>
    <x v="1"/>
    <x v="245"/>
    <x v="0"/>
    <x v="0"/>
    <x v="245"/>
    <x v="0"/>
  </r>
  <r>
    <x v="246"/>
    <x v="0"/>
    <x v="0"/>
    <x v="246"/>
    <x v="96"/>
    <x v="1"/>
    <x v="246"/>
    <x v="89"/>
  </r>
  <r>
    <x v="247"/>
    <x v="1"/>
    <x v="1"/>
    <x v="247"/>
    <x v="119"/>
    <x v="1"/>
    <x v="247"/>
    <x v="9"/>
  </r>
  <r>
    <x v="248"/>
    <x v="2"/>
    <x v="3"/>
    <x v="248"/>
    <x v="120"/>
    <x v="0"/>
    <x v="248"/>
    <x v="130"/>
  </r>
  <r>
    <x v="249"/>
    <x v="3"/>
    <x v="2"/>
    <x v="249"/>
    <x v="89"/>
    <x v="1"/>
    <x v="249"/>
    <x v="23"/>
  </r>
  <r>
    <x v="250"/>
    <x v="4"/>
    <x v="1"/>
    <x v="250"/>
    <x v="91"/>
    <x v="0"/>
    <x v="250"/>
    <x v="73"/>
  </r>
  <r>
    <x v="251"/>
    <x v="5"/>
    <x v="3"/>
    <x v="251"/>
    <x v="40"/>
    <x v="1"/>
    <x v="251"/>
    <x v="56"/>
  </r>
  <r>
    <x v="252"/>
    <x v="0"/>
    <x v="1"/>
    <x v="252"/>
    <x v="110"/>
    <x v="0"/>
    <x v="252"/>
    <x v="114"/>
  </r>
  <r>
    <x v="253"/>
    <x v="1"/>
    <x v="1"/>
    <x v="253"/>
    <x v="31"/>
    <x v="0"/>
    <x v="253"/>
    <x v="50"/>
  </r>
  <r>
    <x v="254"/>
    <x v="2"/>
    <x v="0"/>
    <x v="254"/>
    <x v="105"/>
    <x v="1"/>
    <x v="254"/>
    <x v="112"/>
  </r>
  <r>
    <x v="255"/>
    <x v="3"/>
    <x v="0"/>
    <x v="255"/>
    <x v="82"/>
    <x v="1"/>
    <x v="255"/>
    <x v="115"/>
  </r>
  <r>
    <x v="256"/>
    <x v="4"/>
    <x v="1"/>
    <x v="256"/>
    <x v="114"/>
    <x v="0"/>
    <x v="256"/>
    <x v="131"/>
  </r>
  <r>
    <x v="257"/>
    <x v="5"/>
    <x v="1"/>
    <x v="257"/>
    <x v="43"/>
    <x v="1"/>
    <x v="257"/>
    <x v="86"/>
  </r>
  <r>
    <x v="258"/>
    <x v="0"/>
    <x v="3"/>
    <x v="258"/>
    <x v="121"/>
    <x v="0"/>
    <x v="258"/>
    <x v="132"/>
  </r>
  <r>
    <x v="259"/>
    <x v="1"/>
    <x v="3"/>
    <x v="259"/>
    <x v="0"/>
    <x v="1"/>
    <x v="259"/>
    <x v="3"/>
  </r>
  <r>
    <x v="260"/>
    <x v="2"/>
    <x v="2"/>
    <x v="260"/>
    <x v="16"/>
    <x v="0"/>
    <x v="260"/>
    <x v="17"/>
  </r>
  <r>
    <x v="261"/>
    <x v="3"/>
    <x v="2"/>
    <x v="261"/>
    <x v="106"/>
    <x v="1"/>
    <x v="261"/>
    <x v="18"/>
  </r>
  <r>
    <x v="262"/>
    <x v="4"/>
    <x v="1"/>
    <x v="262"/>
    <x v="13"/>
    <x v="0"/>
    <x v="262"/>
    <x v="80"/>
  </r>
  <r>
    <x v="263"/>
    <x v="5"/>
    <x v="1"/>
    <x v="263"/>
    <x v="53"/>
    <x v="1"/>
    <x v="263"/>
    <x v="27"/>
  </r>
  <r>
    <x v="264"/>
    <x v="0"/>
    <x v="0"/>
    <x v="264"/>
    <x v="122"/>
    <x v="1"/>
    <x v="264"/>
    <x v="126"/>
  </r>
  <r>
    <x v="265"/>
    <x v="1"/>
    <x v="4"/>
    <x v="265"/>
    <x v="0"/>
    <x v="0"/>
    <x v="265"/>
    <x v="0"/>
  </r>
  <r>
    <x v="266"/>
    <x v="2"/>
    <x v="3"/>
    <x v="266"/>
    <x v="123"/>
    <x v="1"/>
    <x v="266"/>
    <x v="64"/>
  </r>
  <r>
    <x v="267"/>
    <x v="3"/>
    <x v="0"/>
    <x v="267"/>
    <x v="0"/>
    <x v="1"/>
    <x v="267"/>
    <x v="3"/>
  </r>
  <r>
    <x v="268"/>
    <x v="4"/>
    <x v="2"/>
    <x v="268"/>
    <x v="124"/>
    <x v="0"/>
    <x v="268"/>
    <x v="133"/>
  </r>
  <r>
    <x v="269"/>
    <x v="5"/>
    <x v="3"/>
    <x v="269"/>
    <x v="0"/>
    <x v="1"/>
    <x v="269"/>
    <x v="3"/>
  </r>
  <r>
    <x v="270"/>
    <x v="0"/>
    <x v="2"/>
    <x v="270"/>
    <x v="0"/>
    <x v="0"/>
    <x v="270"/>
    <x v="0"/>
  </r>
  <r>
    <x v="271"/>
    <x v="1"/>
    <x v="0"/>
    <x v="271"/>
    <x v="0"/>
    <x v="1"/>
    <x v="271"/>
    <x v="3"/>
  </r>
  <r>
    <x v="272"/>
    <x v="2"/>
    <x v="1"/>
    <x v="272"/>
    <x v="125"/>
    <x v="0"/>
    <x v="272"/>
    <x v="134"/>
  </r>
  <r>
    <x v="273"/>
    <x v="3"/>
    <x v="2"/>
    <x v="273"/>
    <x v="60"/>
    <x v="1"/>
    <x v="273"/>
    <x v="118"/>
  </r>
  <r>
    <x v="274"/>
    <x v="4"/>
    <x v="1"/>
    <x v="274"/>
    <x v="44"/>
    <x v="1"/>
    <x v="274"/>
    <x v="135"/>
  </r>
  <r>
    <x v="275"/>
    <x v="5"/>
    <x v="1"/>
    <x v="275"/>
    <x v="83"/>
    <x v="1"/>
    <x v="275"/>
    <x v="136"/>
  </r>
  <r>
    <x v="276"/>
    <x v="0"/>
    <x v="3"/>
    <x v="276"/>
    <x v="117"/>
    <x v="1"/>
    <x v="276"/>
    <x v="137"/>
  </r>
  <r>
    <x v="277"/>
    <x v="1"/>
    <x v="2"/>
    <x v="277"/>
    <x v="12"/>
    <x v="1"/>
    <x v="277"/>
    <x v="21"/>
  </r>
  <r>
    <x v="278"/>
    <x v="2"/>
    <x v="3"/>
    <x v="278"/>
    <x v="46"/>
    <x v="0"/>
    <x v="278"/>
    <x v="13"/>
  </r>
  <r>
    <x v="279"/>
    <x v="3"/>
    <x v="2"/>
    <x v="279"/>
    <x v="28"/>
    <x v="1"/>
    <x v="279"/>
    <x v="31"/>
  </r>
  <r>
    <x v="280"/>
    <x v="4"/>
    <x v="0"/>
    <x v="280"/>
    <x v="17"/>
    <x v="0"/>
    <x v="280"/>
    <x v="18"/>
  </r>
  <r>
    <x v="281"/>
    <x v="5"/>
    <x v="3"/>
    <x v="281"/>
    <x v="126"/>
    <x v="1"/>
    <x v="281"/>
    <x v="114"/>
  </r>
  <r>
    <x v="282"/>
    <x v="0"/>
    <x v="2"/>
    <x v="282"/>
    <x v="19"/>
    <x v="1"/>
    <x v="282"/>
    <x v="120"/>
  </r>
  <r>
    <x v="283"/>
    <x v="1"/>
    <x v="0"/>
    <x v="283"/>
    <x v="101"/>
    <x v="0"/>
    <x v="283"/>
    <x v="107"/>
  </r>
  <r>
    <x v="284"/>
    <x v="2"/>
    <x v="2"/>
    <x v="284"/>
    <x v="127"/>
    <x v="0"/>
    <x v="284"/>
    <x v="138"/>
  </r>
  <r>
    <x v="285"/>
    <x v="3"/>
    <x v="3"/>
    <x v="285"/>
    <x v="119"/>
    <x v="0"/>
    <x v="285"/>
    <x v="139"/>
  </r>
  <r>
    <x v="286"/>
    <x v="4"/>
    <x v="2"/>
    <x v="286"/>
    <x v="44"/>
    <x v="0"/>
    <x v="286"/>
    <x v="46"/>
  </r>
  <r>
    <x v="287"/>
    <x v="5"/>
    <x v="2"/>
    <x v="287"/>
    <x v="30"/>
    <x v="0"/>
    <x v="287"/>
    <x v="54"/>
  </r>
  <r>
    <x v="288"/>
    <x v="0"/>
    <x v="0"/>
    <x v="288"/>
    <x v="36"/>
    <x v="1"/>
    <x v="288"/>
    <x v="38"/>
  </r>
  <r>
    <x v="289"/>
    <x v="1"/>
    <x v="2"/>
    <x v="289"/>
    <x v="74"/>
    <x v="0"/>
    <x v="289"/>
    <x v="79"/>
  </r>
  <r>
    <x v="290"/>
    <x v="2"/>
    <x v="0"/>
    <x v="290"/>
    <x v="115"/>
    <x v="0"/>
    <x v="290"/>
    <x v="121"/>
  </r>
  <r>
    <x v="291"/>
    <x v="3"/>
    <x v="3"/>
    <x v="291"/>
    <x v="98"/>
    <x v="1"/>
    <x v="291"/>
    <x v="140"/>
  </r>
  <r>
    <x v="292"/>
    <x v="4"/>
    <x v="3"/>
    <x v="292"/>
    <x v="42"/>
    <x v="0"/>
    <x v="292"/>
    <x v="141"/>
  </r>
  <r>
    <x v="293"/>
    <x v="5"/>
    <x v="3"/>
    <x v="293"/>
    <x v="55"/>
    <x v="0"/>
    <x v="293"/>
    <x v="58"/>
  </r>
  <r>
    <x v="294"/>
    <x v="0"/>
    <x v="3"/>
    <x v="294"/>
    <x v="38"/>
    <x v="0"/>
    <x v="294"/>
    <x v="40"/>
  </r>
  <r>
    <x v="295"/>
    <x v="1"/>
    <x v="3"/>
    <x v="295"/>
    <x v="113"/>
    <x v="0"/>
    <x v="295"/>
    <x v="123"/>
  </r>
  <r>
    <x v="296"/>
    <x v="2"/>
    <x v="2"/>
    <x v="296"/>
    <x v="80"/>
    <x v="1"/>
    <x v="296"/>
    <x v="132"/>
  </r>
  <r>
    <x v="297"/>
    <x v="3"/>
    <x v="0"/>
    <x v="297"/>
    <x v="74"/>
    <x v="0"/>
    <x v="297"/>
    <x v="79"/>
  </r>
  <r>
    <x v="298"/>
    <x v="4"/>
    <x v="0"/>
    <x v="298"/>
    <x v="128"/>
    <x v="0"/>
    <x v="298"/>
    <x v="142"/>
  </r>
  <r>
    <x v="299"/>
    <x v="5"/>
    <x v="4"/>
    <x v="299"/>
    <x v="62"/>
    <x v="0"/>
    <x v="299"/>
    <x v="65"/>
  </r>
  <r>
    <x v="300"/>
    <x v="0"/>
    <x v="0"/>
    <x v="300"/>
    <x v="84"/>
    <x v="0"/>
    <x v="300"/>
    <x v="90"/>
  </r>
  <r>
    <x v="301"/>
    <x v="1"/>
    <x v="1"/>
    <x v="301"/>
    <x v="104"/>
    <x v="0"/>
    <x v="301"/>
    <x v="92"/>
  </r>
  <r>
    <x v="302"/>
    <x v="2"/>
    <x v="0"/>
    <x v="302"/>
    <x v="9"/>
    <x v="0"/>
    <x v="302"/>
    <x v="9"/>
  </r>
  <r>
    <x v="303"/>
    <x v="3"/>
    <x v="1"/>
    <x v="303"/>
    <x v="0"/>
    <x v="0"/>
    <x v="303"/>
    <x v="0"/>
  </r>
  <r>
    <x v="304"/>
    <x v="4"/>
    <x v="2"/>
    <x v="304"/>
    <x v="115"/>
    <x v="1"/>
    <x v="304"/>
    <x v="59"/>
  </r>
  <r>
    <x v="305"/>
    <x v="5"/>
    <x v="3"/>
    <x v="305"/>
    <x v="100"/>
    <x v="1"/>
    <x v="305"/>
    <x v="106"/>
  </r>
  <r>
    <x v="306"/>
    <x v="0"/>
    <x v="2"/>
    <x v="306"/>
    <x v="53"/>
    <x v="0"/>
    <x v="306"/>
    <x v="143"/>
  </r>
  <r>
    <x v="307"/>
    <x v="1"/>
    <x v="2"/>
    <x v="307"/>
    <x v="49"/>
    <x v="0"/>
    <x v="307"/>
    <x v="32"/>
  </r>
  <r>
    <x v="308"/>
    <x v="2"/>
    <x v="3"/>
    <x v="308"/>
    <x v="129"/>
    <x v="1"/>
    <x v="308"/>
    <x v="78"/>
  </r>
  <r>
    <x v="309"/>
    <x v="3"/>
    <x v="3"/>
    <x v="309"/>
    <x v="31"/>
    <x v="0"/>
    <x v="309"/>
    <x v="50"/>
  </r>
  <r>
    <x v="310"/>
    <x v="4"/>
    <x v="4"/>
    <x v="310"/>
    <x v="14"/>
    <x v="1"/>
    <x v="310"/>
    <x v="14"/>
  </r>
  <r>
    <x v="311"/>
    <x v="5"/>
    <x v="0"/>
    <x v="311"/>
    <x v="55"/>
    <x v="0"/>
    <x v="311"/>
    <x v="58"/>
  </r>
  <r>
    <x v="312"/>
    <x v="0"/>
    <x v="2"/>
    <x v="312"/>
    <x v="20"/>
    <x v="0"/>
    <x v="312"/>
    <x v="127"/>
  </r>
  <r>
    <x v="313"/>
    <x v="1"/>
    <x v="1"/>
    <x v="313"/>
    <x v="110"/>
    <x v="0"/>
    <x v="313"/>
    <x v="114"/>
  </r>
  <r>
    <x v="314"/>
    <x v="2"/>
    <x v="3"/>
    <x v="314"/>
    <x v="130"/>
    <x v="1"/>
    <x v="314"/>
    <x v="2"/>
  </r>
  <r>
    <x v="315"/>
    <x v="3"/>
    <x v="1"/>
    <x v="315"/>
    <x v="118"/>
    <x v="1"/>
    <x v="315"/>
    <x v="129"/>
  </r>
  <r>
    <x v="316"/>
    <x v="4"/>
    <x v="0"/>
    <x v="316"/>
    <x v="18"/>
    <x v="0"/>
    <x v="316"/>
    <x v="21"/>
  </r>
  <r>
    <x v="317"/>
    <x v="5"/>
    <x v="1"/>
    <x v="317"/>
    <x v="96"/>
    <x v="1"/>
    <x v="317"/>
    <x v="89"/>
  </r>
  <r>
    <x v="318"/>
    <x v="0"/>
    <x v="3"/>
    <x v="318"/>
    <x v="127"/>
    <x v="1"/>
    <x v="318"/>
    <x v="20"/>
  </r>
  <r>
    <x v="319"/>
    <x v="1"/>
    <x v="2"/>
    <x v="319"/>
    <x v="131"/>
    <x v="0"/>
    <x v="319"/>
    <x v="144"/>
  </r>
  <r>
    <x v="320"/>
    <x v="2"/>
    <x v="1"/>
    <x v="320"/>
    <x v="67"/>
    <x v="1"/>
    <x v="320"/>
    <x v="70"/>
  </r>
  <r>
    <x v="321"/>
    <x v="3"/>
    <x v="0"/>
    <x v="321"/>
    <x v="128"/>
    <x v="0"/>
    <x v="321"/>
    <x v="142"/>
  </r>
  <r>
    <x v="322"/>
    <x v="4"/>
    <x v="0"/>
    <x v="322"/>
    <x v="57"/>
    <x v="0"/>
    <x v="322"/>
    <x v="31"/>
  </r>
  <r>
    <x v="323"/>
    <x v="5"/>
    <x v="1"/>
    <x v="323"/>
    <x v="102"/>
    <x v="0"/>
    <x v="323"/>
    <x v="15"/>
  </r>
  <r>
    <x v="324"/>
    <x v="0"/>
    <x v="3"/>
    <x v="324"/>
    <x v="0"/>
    <x v="1"/>
    <x v="324"/>
    <x v="3"/>
  </r>
  <r>
    <x v="325"/>
    <x v="1"/>
    <x v="0"/>
    <x v="325"/>
    <x v="132"/>
    <x v="1"/>
    <x v="325"/>
    <x v="145"/>
  </r>
  <r>
    <x v="326"/>
    <x v="2"/>
    <x v="0"/>
    <x v="326"/>
    <x v="56"/>
    <x v="1"/>
    <x v="326"/>
    <x v="0"/>
  </r>
  <r>
    <x v="327"/>
    <x v="3"/>
    <x v="0"/>
    <x v="327"/>
    <x v="127"/>
    <x v="1"/>
    <x v="327"/>
    <x v="20"/>
  </r>
  <r>
    <x v="328"/>
    <x v="4"/>
    <x v="2"/>
    <x v="328"/>
    <x v="127"/>
    <x v="1"/>
    <x v="328"/>
    <x v="20"/>
  </r>
  <r>
    <x v="329"/>
    <x v="5"/>
    <x v="0"/>
    <x v="329"/>
    <x v="0"/>
    <x v="1"/>
    <x v="329"/>
    <x v="3"/>
  </r>
  <r>
    <x v="330"/>
    <x v="0"/>
    <x v="0"/>
    <x v="330"/>
    <x v="125"/>
    <x v="1"/>
    <x v="330"/>
    <x v="65"/>
  </r>
  <r>
    <x v="331"/>
    <x v="1"/>
    <x v="3"/>
    <x v="331"/>
    <x v="0"/>
    <x v="0"/>
    <x v="331"/>
    <x v="0"/>
  </r>
  <r>
    <x v="332"/>
    <x v="2"/>
    <x v="1"/>
    <x v="332"/>
    <x v="87"/>
    <x v="0"/>
    <x v="332"/>
    <x v="38"/>
  </r>
  <r>
    <x v="333"/>
    <x v="3"/>
    <x v="2"/>
    <x v="333"/>
    <x v="4"/>
    <x v="1"/>
    <x v="333"/>
    <x v="5"/>
  </r>
  <r>
    <x v="334"/>
    <x v="4"/>
    <x v="0"/>
    <x v="334"/>
    <x v="56"/>
    <x v="1"/>
    <x v="334"/>
    <x v="0"/>
  </r>
  <r>
    <x v="335"/>
    <x v="5"/>
    <x v="2"/>
    <x v="335"/>
    <x v="2"/>
    <x v="1"/>
    <x v="335"/>
    <x v="46"/>
  </r>
  <r>
    <x v="336"/>
    <x v="0"/>
    <x v="3"/>
    <x v="336"/>
    <x v="61"/>
    <x v="0"/>
    <x v="336"/>
    <x v="64"/>
  </r>
  <r>
    <x v="337"/>
    <x v="1"/>
    <x v="2"/>
    <x v="337"/>
    <x v="107"/>
    <x v="0"/>
    <x v="337"/>
    <x v="30"/>
  </r>
  <r>
    <x v="338"/>
    <x v="2"/>
    <x v="3"/>
    <x v="338"/>
    <x v="8"/>
    <x v="1"/>
    <x v="338"/>
    <x v="95"/>
  </r>
  <r>
    <x v="339"/>
    <x v="3"/>
    <x v="1"/>
    <x v="339"/>
    <x v="10"/>
    <x v="0"/>
    <x v="339"/>
    <x v="10"/>
  </r>
  <r>
    <x v="340"/>
    <x v="4"/>
    <x v="1"/>
    <x v="340"/>
    <x v="0"/>
    <x v="0"/>
    <x v="340"/>
    <x v="0"/>
  </r>
  <r>
    <x v="341"/>
    <x v="5"/>
    <x v="2"/>
    <x v="341"/>
    <x v="8"/>
    <x v="1"/>
    <x v="341"/>
    <x v="95"/>
  </r>
  <r>
    <x v="342"/>
    <x v="0"/>
    <x v="1"/>
    <x v="342"/>
    <x v="133"/>
    <x v="0"/>
    <x v="342"/>
    <x v="72"/>
  </r>
  <r>
    <x v="343"/>
    <x v="1"/>
    <x v="3"/>
    <x v="343"/>
    <x v="50"/>
    <x v="0"/>
    <x v="343"/>
    <x v="112"/>
  </r>
  <r>
    <x v="344"/>
    <x v="2"/>
    <x v="0"/>
    <x v="344"/>
    <x v="46"/>
    <x v="0"/>
    <x v="344"/>
    <x v="13"/>
  </r>
  <r>
    <x v="345"/>
    <x v="3"/>
    <x v="4"/>
    <x v="345"/>
    <x v="125"/>
    <x v="0"/>
    <x v="345"/>
    <x v="134"/>
  </r>
  <r>
    <x v="346"/>
    <x v="4"/>
    <x v="1"/>
    <x v="346"/>
    <x v="53"/>
    <x v="0"/>
    <x v="346"/>
    <x v="143"/>
  </r>
  <r>
    <x v="347"/>
    <x v="5"/>
    <x v="0"/>
    <x v="347"/>
    <x v="87"/>
    <x v="0"/>
    <x v="347"/>
    <x v="38"/>
  </r>
  <r>
    <x v="348"/>
    <x v="0"/>
    <x v="2"/>
    <x v="348"/>
    <x v="0"/>
    <x v="1"/>
    <x v="348"/>
    <x v="3"/>
  </r>
  <r>
    <x v="349"/>
    <x v="1"/>
    <x v="3"/>
    <x v="349"/>
    <x v="19"/>
    <x v="1"/>
    <x v="349"/>
    <x v="120"/>
  </r>
  <r>
    <x v="350"/>
    <x v="2"/>
    <x v="2"/>
    <x v="350"/>
    <x v="97"/>
    <x v="1"/>
    <x v="350"/>
    <x v="123"/>
  </r>
  <r>
    <x v="351"/>
    <x v="3"/>
    <x v="3"/>
    <x v="351"/>
    <x v="76"/>
    <x v="1"/>
    <x v="351"/>
    <x v="82"/>
  </r>
  <r>
    <x v="352"/>
    <x v="4"/>
    <x v="1"/>
    <x v="352"/>
    <x v="14"/>
    <x v="1"/>
    <x v="352"/>
    <x v="14"/>
  </r>
  <r>
    <x v="353"/>
    <x v="5"/>
    <x v="3"/>
    <x v="353"/>
    <x v="117"/>
    <x v="0"/>
    <x v="353"/>
    <x v="120"/>
  </r>
  <r>
    <x v="354"/>
    <x v="0"/>
    <x v="3"/>
    <x v="354"/>
    <x v="13"/>
    <x v="1"/>
    <x v="354"/>
    <x v="13"/>
  </r>
  <r>
    <x v="355"/>
    <x v="1"/>
    <x v="3"/>
    <x v="355"/>
    <x v="134"/>
    <x v="1"/>
    <x v="355"/>
    <x v="80"/>
  </r>
  <r>
    <x v="356"/>
    <x v="2"/>
    <x v="1"/>
    <x v="356"/>
    <x v="29"/>
    <x v="1"/>
    <x v="356"/>
    <x v="32"/>
  </r>
  <r>
    <x v="357"/>
    <x v="3"/>
    <x v="4"/>
    <x v="357"/>
    <x v="86"/>
    <x v="0"/>
    <x v="357"/>
    <x v="52"/>
  </r>
  <r>
    <x v="358"/>
    <x v="4"/>
    <x v="1"/>
    <x v="358"/>
    <x v="56"/>
    <x v="1"/>
    <x v="358"/>
    <x v="0"/>
  </r>
  <r>
    <x v="359"/>
    <x v="5"/>
    <x v="2"/>
    <x v="359"/>
    <x v="60"/>
    <x v="1"/>
    <x v="359"/>
    <x v="118"/>
  </r>
  <r>
    <x v="360"/>
    <x v="0"/>
    <x v="3"/>
    <x v="360"/>
    <x v="114"/>
    <x v="0"/>
    <x v="360"/>
    <x v="131"/>
  </r>
  <r>
    <x v="361"/>
    <x v="1"/>
    <x v="2"/>
    <x v="361"/>
    <x v="120"/>
    <x v="0"/>
    <x v="361"/>
    <x v="130"/>
  </r>
  <r>
    <x v="362"/>
    <x v="2"/>
    <x v="2"/>
    <x v="362"/>
    <x v="37"/>
    <x v="1"/>
    <x v="362"/>
    <x v="10"/>
  </r>
  <r>
    <x v="363"/>
    <x v="3"/>
    <x v="0"/>
    <x v="363"/>
    <x v="130"/>
    <x v="0"/>
    <x v="363"/>
    <x v="63"/>
  </r>
  <r>
    <x v="364"/>
    <x v="4"/>
    <x v="3"/>
    <x v="364"/>
    <x v="20"/>
    <x v="1"/>
    <x v="364"/>
    <x v="22"/>
  </r>
  <r>
    <x v="365"/>
    <x v="5"/>
    <x v="3"/>
    <x v="365"/>
    <x v="84"/>
    <x v="0"/>
    <x v="365"/>
    <x v="90"/>
  </r>
  <r>
    <x v="366"/>
    <x v="0"/>
    <x v="0"/>
    <x v="366"/>
    <x v="34"/>
    <x v="0"/>
    <x v="366"/>
    <x v="37"/>
  </r>
  <r>
    <x v="367"/>
    <x v="1"/>
    <x v="3"/>
    <x v="367"/>
    <x v="57"/>
    <x v="1"/>
    <x v="367"/>
    <x v="8"/>
  </r>
  <r>
    <x v="368"/>
    <x v="2"/>
    <x v="2"/>
    <x v="368"/>
    <x v="71"/>
    <x v="1"/>
    <x v="368"/>
    <x v="75"/>
  </r>
  <r>
    <x v="369"/>
    <x v="3"/>
    <x v="2"/>
    <x v="369"/>
    <x v="4"/>
    <x v="1"/>
    <x v="369"/>
    <x v="5"/>
  </r>
  <r>
    <x v="370"/>
    <x v="4"/>
    <x v="2"/>
    <x v="370"/>
    <x v="110"/>
    <x v="0"/>
    <x v="370"/>
    <x v="114"/>
  </r>
  <r>
    <x v="371"/>
    <x v="5"/>
    <x v="2"/>
    <x v="371"/>
    <x v="77"/>
    <x v="1"/>
    <x v="371"/>
    <x v="146"/>
  </r>
  <r>
    <x v="372"/>
    <x v="0"/>
    <x v="0"/>
    <x v="372"/>
    <x v="119"/>
    <x v="1"/>
    <x v="372"/>
    <x v="9"/>
  </r>
  <r>
    <x v="373"/>
    <x v="1"/>
    <x v="0"/>
    <x v="373"/>
    <x v="90"/>
    <x v="1"/>
    <x v="373"/>
    <x v="147"/>
  </r>
  <r>
    <x v="374"/>
    <x v="2"/>
    <x v="3"/>
    <x v="374"/>
    <x v="42"/>
    <x v="1"/>
    <x v="374"/>
    <x v="44"/>
  </r>
  <r>
    <x v="375"/>
    <x v="3"/>
    <x v="2"/>
    <x v="375"/>
    <x v="1"/>
    <x v="1"/>
    <x v="375"/>
    <x v="1"/>
  </r>
  <r>
    <x v="376"/>
    <x v="4"/>
    <x v="3"/>
    <x v="376"/>
    <x v="75"/>
    <x v="0"/>
    <x v="376"/>
    <x v="66"/>
  </r>
  <r>
    <x v="377"/>
    <x v="5"/>
    <x v="4"/>
    <x v="377"/>
    <x v="37"/>
    <x v="0"/>
    <x v="377"/>
    <x v="11"/>
  </r>
  <r>
    <x v="378"/>
    <x v="0"/>
    <x v="1"/>
    <x v="378"/>
    <x v="111"/>
    <x v="0"/>
    <x v="378"/>
    <x v="61"/>
  </r>
  <r>
    <x v="379"/>
    <x v="1"/>
    <x v="4"/>
    <x v="379"/>
    <x v="0"/>
    <x v="1"/>
    <x v="379"/>
    <x v="3"/>
  </r>
  <r>
    <x v="380"/>
    <x v="2"/>
    <x v="2"/>
    <x v="380"/>
    <x v="35"/>
    <x v="1"/>
    <x v="380"/>
    <x v="148"/>
  </r>
  <r>
    <x v="381"/>
    <x v="3"/>
    <x v="4"/>
    <x v="381"/>
    <x v="131"/>
    <x v="0"/>
    <x v="381"/>
    <x v="144"/>
  </r>
  <r>
    <x v="382"/>
    <x v="4"/>
    <x v="3"/>
    <x v="382"/>
    <x v="135"/>
    <x v="1"/>
    <x v="382"/>
    <x v="149"/>
  </r>
  <r>
    <x v="383"/>
    <x v="5"/>
    <x v="2"/>
    <x v="383"/>
    <x v="90"/>
    <x v="0"/>
    <x v="383"/>
    <x v="94"/>
  </r>
  <r>
    <x v="384"/>
    <x v="0"/>
    <x v="2"/>
    <x v="384"/>
    <x v="136"/>
    <x v="0"/>
    <x v="384"/>
    <x v="47"/>
  </r>
  <r>
    <x v="385"/>
    <x v="1"/>
    <x v="1"/>
    <x v="385"/>
    <x v="73"/>
    <x v="0"/>
    <x v="385"/>
    <x v="78"/>
  </r>
  <r>
    <x v="386"/>
    <x v="2"/>
    <x v="3"/>
    <x v="386"/>
    <x v="29"/>
    <x v="0"/>
    <x v="386"/>
    <x v="113"/>
  </r>
  <r>
    <x v="387"/>
    <x v="3"/>
    <x v="3"/>
    <x v="387"/>
    <x v="63"/>
    <x v="1"/>
    <x v="387"/>
    <x v="66"/>
  </r>
  <r>
    <x v="388"/>
    <x v="4"/>
    <x v="1"/>
    <x v="388"/>
    <x v="41"/>
    <x v="0"/>
    <x v="388"/>
    <x v="43"/>
  </r>
  <r>
    <x v="389"/>
    <x v="5"/>
    <x v="1"/>
    <x v="389"/>
    <x v="114"/>
    <x v="1"/>
    <x v="389"/>
    <x v="119"/>
  </r>
  <r>
    <x v="390"/>
    <x v="0"/>
    <x v="1"/>
    <x v="390"/>
    <x v="27"/>
    <x v="0"/>
    <x v="390"/>
    <x v="111"/>
  </r>
  <r>
    <x v="391"/>
    <x v="1"/>
    <x v="3"/>
    <x v="391"/>
    <x v="137"/>
    <x v="0"/>
    <x v="391"/>
    <x v="108"/>
  </r>
  <r>
    <x v="392"/>
    <x v="2"/>
    <x v="2"/>
    <x v="392"/>
    <x v="110"/>
    <x v="1"/>
    <x v="392"/>
    <x v="150"/>
  </r>
  <r>
    <x v="393"/>
    <x v="3"/>
    <x v="2"/>
    <x v="393"/>
    <x v="120"/>
    <x v="0"/>
    <x v="393"/>
    <x v="130"/>
  </r>
  <r>
    <x v="394"/>
    <x v="4"/>
    <x v="2"/>
    <x v="394"/>
    <x v="87"/>
    <x v="0"/>
    <x v="394"/>
    <x v="38"/>
  </r>
  <r>
    <x v="395"/>
    <x v="5"/>
    <x v="0"/>
    <x v="395"/>
    <x v="35"/>
    <x v="0"/>
    <x v="395"/>
    <x v="34"/>
  </r>
  <r>
    <x v="396"/>
    <x v="0"/>
    <x v="1"/>
    <x v="396"/>
    <x v="99"/>
    <x v="0"/>
    <x v="396"/>
    <x v="28"/>
  </r>
  <r>
    <x v="397"/>
    <x v="1"/>
    <x v="1"/>
    <x v="397"/>
    <x v="65"/>
    <x v="1"/>
    <x v="397"/>
    <x v="68"/>
  </r>
  <r>
    <x v="398"/>
    <x v="2"/>
    <x v="0"/>
    <x v="398"/>
    <x v="69"/>
    <x v="1"/>
    <x v="398"/>
    <x v="72"/>
  </r>
  <r>
    <x v="399"/>
    <x v="3"/>
    <x v="0"/>
    <x v="399"/>
    <x v="128"/>
    <x v="0"/>
    <x v="399"/>
    <x v="142"/>
  </r>
  <r>
    <x v="400"/>
    <x v="4"/>
    <x v="0"/>
    <x v="400"/>
    <x v="0"/>
    <x v="1"/>
    <x v="400"/>
    <x v="3"/>
  </r>
  <r>
    <x v="401"/>
    <x v="5"/>
    <x v="2"/>
    <x v="401"/>
    <x v="44"/>
    <x v="0"/>
    <x v="401"/>
    <x v="46"/>
  </r>
  <r>
    <x v="402"/>
    <x v="0"/>
    <x v="3"/>
    <x v="402"/>
    <x v="74"/>
    <x v="1"/>
    <x v="402"/>
    <x v="151"/>
  </r>
  <r>
    <x v="403"/>
    <x v="1"/>
    <x v="0"/>
    <x v="403"/>
    <x v="19"/>
    <x v="0"/>
    <x v="403"/>
    <x v="20"/>
  </r>
  <r>
    <x v="404"/>
    <x v="2"/>
    <x v="1"/>
    <x v="404"/>
    <x v="138"/>
    <x v="1"/>
    <x v="404"/>
    <x v="94"/>
  </r>
  <r>
    <x v="405"/>
    <x v="3"/>
    <x v="2"/>
    <x v="405"/>
    <x v="31"/>
    <x v="0"/>
    <x v="405"/>
    <x v="50"/>
  </r>
  <r>
    <x v="406"/>
    <x v="4"/>
    <x v="2"/>
    <x v="406"/>
    <x v="36"/>
    <x v="0"/>
    <x v="406"/>
    <x v="152"/>
  </r>
  <r>
    <x v="407"/>
    <x v="5"/>
    <x v="4"/>
    <x v="407"/>
    <x v="92"/>
    <x v="0"/>
    <x v="407"/>
    <x v="25"/>
  </r>
  <r>
    <x v="408"/>
    <x v="0"/>
    <x v="1"/>
    <x v="408"/>
    <x v="25"/>
    <x v="1"/>
    <x v="408"/>
    <x v="101"/>
  </r>
  <r>
    <x v="409"/>
    <x v="1"/>
    <x v="3"/>
    <x v="409"/>
    <x v="22"/>
    <x v="1"/>
    <x v="409"/>
    <x v="153"/>
  </r>
  <r>
    <x v="410"/>
    <x v="2"/>
    <x v="0"/>
    <x v="410"/>
    <x v="132"/>
    <x v="1"/>
    <x v="410"/>
    <x v="145"/>
  </r>
  <r>
    <x v="411"/>
    <x v="3"/>
    <x v="2"/>
    <x v="411"/>
    <x v="112"/>
    <x v="1"/>
    <x v="411"/>
    <x v="116"/>
  </r>
  <r>
    <x v="412"/>
    <x v="4"/>
    <x v="0"/>
    <x v="412"/>
    <x v="56"/>
    <x v="0"/>
    <x v="412"/>
    <x v="154"/>
  </r>
  <r>
    <x v="413"/>
    <x v="5"/>
    <x v="0"/>
    <x v="413"/>
    <x v="76"/>
    <x v="0"/>
    <x v="413"/>
    <x v="119"/>
  </r>
  <r>
    <x v="414"/>
    <x v="0"/>
    <x v="2"/>
    <x v="414"/>
    <x v="0"/>
    <x v="1"/>
    <x v="414"/>
    <x v="3"/>
  </r>
  <r>
    <x v="415"/>
    <x v="1"/>
    <x v="3"/>
    <x v="415"/>
    <x v="4"/>
    <x v="1"/>
    <x v="415"/>
    <x v="5"/>
  </r>
  <r>
    <x v="416"/>
    <x v="2"/>
    <x v="0"/>
    <x v="416"/>
    <x v="32"/>
    <x v="0"/>
    <x v="416"/>
    <x v="35"/>
  </r>
  <r>
    <x v="417"/>
    <x v="3"/>
    <x v="1"/>
    <x v="417"/>
    <x v="97"/>
    <x v="1"/>
    <x v="417"/>
    <x v="123"/>
  </r>
  <r>
    <x v="418"/>
    <x v="4"/>
    <x v="1"/>
    <x v="418"/>
    <x v="76"/>
    <x v="0"/>
    <x v="418"/>
    <x v="119"/>
  </r>
  <r>
    <x v="419"/>
    <x v="5"/>
    <x v="1"/>
    <x v="419"/>
    <x v="0"/>
    <x v="0"/>
    <x v="419"/>
    <x v="0"/>
  </r>
  <r>
    <x v="420"/>
    <x v="0"/>
    <x v="2"/>
    <x v="420"/>
    <x v="1"/>
    <x v="1"/>
    <x v="420"/>
    <x v="1"/>
  </r>
  <r>
    <x v="421"/>
    <x v="1"/>
    <x v="3"/>
    <x v="421"/>
    <x v="102"/>
    <x v="0"/>
    <x v="421"/>
    <x v="15"/>
  </r>
  <r>
    <x v="422"/>
    <x v="2"/>
    <x v="2"/>
    <x v="422"/>
    <x v="24"/>
    <x v="0"/>
    <x v="422"/>
    <x v="96"/>
  </r>
  <r>
    <x v="423"/>
    <x v="3"/>
    <x v="2"/>
    <x v="423"/>
    <x v="44"/>
    <x v="1"/>
    <x v="423"/>
    <x v="135"/>
  </r>
  <r>
    <x v="424"/>
    <x v="4"/>
    <x v="3"/>
    <x v="424"/>
    <x v="0"/>
    <x v="1"/>
    <x v="424"/>
    <x v="3"/>
  </r>
  <r>
    <x v="425"/>
    <x v="5"/>
    <x v="1"/>
    <x v="425"/>
    <x v="20"/>
    <x v="1"/>
    <x v="425"/>
    <x v="22"/>
  </r>
  <r>
    <x v="426"/>
    <x v="0"/>
    <x v="0"/>
    <x v="426"/>
    <x v="10"/>
    <x v="0"/>
    <x v="426"/>
    <x v="10"/>
  </r>
  <r>
    <x v="427"/>
    <x v="1"/>
    <x v="1"/>
    <x v="427"/>
    <x v="77"/>
    <x v="0"/>
    <x v="427"/>
    <x v="83"/>
  </r>
  <r>
    <x v="428"/>
    <x v="2"/>
    <x v="1"/>
    <x v="428"/>
    <x v="32"/>
    <x v="1"/>
    <x v="428"/>
    <x v="155"/>
  </r>
  <r>
    <x v="429"/>
    <x v="3"/>
    <x v="1"/>
    <x v="429"/>
    <x v="121"/>
    <x v="0"/>
    <x v="429"/>
    <x v="132"/>
  </r>
  <r>
    <x v="430"/>
    <x v="4"/>
    <x v="3"/>
    <x v="430"/>
    <x v="34"/>
    <x v="0"/>
    <x v="430"/>
    <x v="37"/>
  </r>
  <r>
    <x v="431"/>
    <x v="5"/>
    <x v="3"/>
    <x v="431"/>
    <x v="23"/>
    <x v="0"/>
    <x v="431"/>
    <x v="14"/>
  </r>
  <r>
    <x v="432"/>
    <x v="0"/>
    <x v="3"/>
    <x v="432"/>
    <x v="115"/>
    <x v="1"/>
    <x v="432"/>
    <x v="59"/>
  </r>
  <r>
    <x v="433"/>
    <x v="1"/>
    <x v="2"/>
    <x v="433"/>
    <x v="79"/>
    <x v="1"/>
    <x v="433"/>
    <x v="84"/>
  </r>
  <r>
    <x v="434"/>
    <x v="2"/>
    <x v="3"/>
    <x v="434"/>
    <x v="3"/>
    <x v="0"/>
    <x v="434"/>
    <x v="156"/>
  </r>
  <r>
    <x v="435"/>
    <x v="3"/>
    <x v="0"/>
    <x v="435"/>
    <x v="27"/>
    <x v="0"/>
    <x v="435"/>
    <x v="111"/>
  </r>
  <r>
    <x v="436"/>
    <x v="4"/>
    <x v="3"/>
    <x v="436"/>
    <x v="55"/>
    <x v="0"/>
    <x v="436"/>
    <x v="58"/>
  </r>
  <r>
    <x v="437"/>
    <x v="5"/>
    <x v="1"/>
    <x v="437"/>
    <x v="134"/>
    <x v="0"/>
    <x v="437"/>
    <x v="157"/>
  </r>
  <r>
    <x v="438"/>
    <x v="0"/>
    <x v="2"/>
    <x v="438"/>
    <x v="119"/>
    <x v="1"/>
    <x v="438"/>
    <x v="9"/>
  </r>
  <r>
    <x v="439"/>
    <x v="1"/>
    <x v="3"/>
    <x v="439"/>
    <x v="60"/>
    <x v="0"/>
    <x v="439"/>
    <x v="62"/>
  </r>
  <r>
    <x v="440"/>
    <x v="2"/>
    <x v="0"/>
    <x v="440"/>
    <x v="112"/>
    <x v="0"/>
    <x v="440"/>
    <x v="129"/>
  </r>
  <r>
    <x v="441"/>
    <x v="3"/>
    <x v="0"/>
    <x v="441"/>
    <x v="97"/>
    <x v="0"/>
    <x v="441"/>
    <x v="103"/>
  </r>
  <r>
    <x v="442"/>
    <x v="4"/>
    <x v="0"/>
    <x v="442"/>
    <x v="126"/>
    <x v="0"/>
    <x v="442"/>
    <x v="158"/>
  </r>
  <r>
    <x v="443"/>
    <x v="5"/>
    <x v="3"/>
    <x v="443"/>
    <x v="139"/>
    <x v="1"/>
    <x v="443"/>
    <x v="35"/>
  </r>
  <r>
    <x v="444"/>
    <x v="0"/>
    <x v="3"/>
    <x v="444"/>
    <x v="81"/>
    <x v="1"/>
    <x v="444"/>
    <x v="12"/>
  </r>
  <r>
    <x v="445"/>
    <x v="1"/>
    <x v="0"/>
    <x v="445"/>
    <x v="128"/>
    <x v="0"/>
    <x v="445"/>
    <x v="142"/>
  </r>
  <r>
    <x v="446"/>
    <x v="2"/>
    <x v="0"/>
    <x v="446"/>
    <x v="131"/>
    <x v="0"/>
    <x v="446"/>
    <x v="144"/>
  </r>
  <r>
    <x v="447"/>
    <x v="3"/>
    <x v="1"/>
    <x v="447"/>
    <x v="132"/>
    <x v="1"/>
    <x v="447"/>
    <x v="145"/>
  </r>
  <r>
    <x v="448"/>
    <x v="4"/>
    <x v="0"/>
    <x v="448"/>
    <x v="58"/>
    <x v="0"/>
    <x v="448"/>
    <x v="59"/>
  </r>
  <r>
    <x v="449"/>
    <x v="5"/>
    <x v="2"/>
    <x v="449"/>
    <x v="140"/>
    <x v="1"/>
    <x v="449"/>
    <x v="159"/>
  </r>
  <r>
    <x v="450"/>
    <x v="0"/>
    <x v="3"/>
    <x v="450"/>
    <x v="24"/>
    <x v="0"/>
    <x v="450"/>
    <x v="96"/>
  </r>
  <r>
    <x v="451"/>
    <x v="1"/>
    <x v="3"/>
    <x v="451"/>
    <x v="141"/>
    <x v="1"/>
    <x v="451"/>
    <x v="134"/>
  </r>
  <r>
    <x v="452"/>
    <x v="2"/>
    <x v="2"/>
    <x v="452"/>
    <x v="25"/>
    <x v="0"/>
    <x v="452"/>
    <x v="27"/>
  </r>
  <r>
    <x v="453"/>
    <x v="3"/>
    <x v="2"/>
    <x v="453"/>
    <x v="12"/>
    <x v="1"/>
    <x v="453"/>
    <x v="21"/>
  </r>
  <r>
    <x v="454"/>
    <x v="4"/>
    <x v="2"/>
    <x v="454"/>
    <x v="63"/>
    <x v="0"/>
    <x v="454"/>
    <x v="71"/>
  </r>
  <r>
    <x v="455"/>
    <x v="5"/>
    <x v="2"/>
    <x v="455"/>
    <x v="0"/>
    <x v="0"/>
    <x v="455"/>
    <x v="0"/>
  </r>
  <r>
    <x v="456"/>
    <x v="0"/>
    <x v="0"/>
    <x v="456"/>
    <x v="53"/>
    <x v="1"/>
    <x v="456"/>
    <x v="27"/>
  </r>
  <r>
    <x v="457"/>
    <x v="1"/>
    <x v="0"/>
    <x v="457"/>
    <x v="139"/>
    <x v="0"/>
    <x v="457"/>
    <x v="117"/>
  </r>
  <r>
    <x v="458"/>
    <x v="2"/>
    <x v="2"/>
    <x v="458"/>
    <x v="92"/>
    <x v="0"/>
    <x v="458"/>
    <x v="25"/>
  </r>
  <r>
    <x v="459"/>
    <x v="3"/>
    <x v="1"/>
    <x v="459"/>
    <x v="9"/>
    <x v="0"/>
    <x v="459"/>
    <x v="9"/>
  </r>
  <r>
    <x v="460"/>
    <x v="4"/>
    <x v="4"/>
    <x v="460"/>
    <x v="102"/>
    <x v="0"/>
    <x v="460"/>
    <x v="15"/>
  </r>
  <r>
    <x v="461"/>
    <x v="5"/>
    <x v="0"/>
    <x v="461"/>
    <x v="54"/>
    <x v="0"/>
    <x v="461"/>
    <x v="57"/>
  </r>
  <r>
    <x v="462"/>
    <x v="0"/>
    <x v="3"/>
    <x v="462"/>
    <x v="104"/>
    <x v="0"/>
    <x v="462"/>
    <x v="92"/>
  </r>
  <r>
    <x v="463"/>
    <x v="1"/>
    <x v="1"/>
    <x v="463"/>
    <x v="28"/>
    <x v="0"/>
    <x v="463"/>
    <x v="55"/>
  </r>
  <r>
    <x v="464"/>
    <x v="2"/>
    <x v="1"/>
    <x v="464"/>
    <x v="8"/>
    <x v="1"/>
    <x v="464"/>
    <x v="95"/>
  </r>
  <r>
    <x v="465"/>
    <x v="3"/>
    <x v="0"/>
    <x v="465"/>
    <x v="129"/>
    <x v="1"/>
    <x v="465"/>
    <x v="78"/>
  </r>
  <r>
    <x v="466"/>
    <x v="4"/>
    <x v="1"/>
    <x v="466"/>
    <x v="16"/>
    <x v="1"/>
    <x v="466"/>
    <x v="28"/>
  </r>
  <r>
    <x v="467"/>
    <x v="5"/>
    <x v="3"/>
    <x v="467"/>
    <x v="43"/>
    <x v="1"/>
    <x v="467"/>
    <x v="86"/>
  </r>
  <r>
    <x v="468"/>
    <x v="0"/>
    <x v="1"/>
    <x v="468"/>
    <x v="99"/>
    <x v="0"/>
    <x v="468"/>
    <x v="28"/>
  </r>
  <r>
    <x v="469"/>
    <x v="1"/>
    <x v="0"/>
    <x v="469"/>
    <x v="119"/>
    <x v="0"/>
    <x v="469"/>
    <x v="139"/>
  </r>
  <r>
    <x v="470"/>
    <x v="2"/>
    <x v="2"/>
    <x v="470"/>
    <x v="65"/>
    <x v="1"/>
    <x v="470"/>
    <x v="68"/>
  </r>
  <r>
    <x v="471"/>
    <x v="3"/>
    <x v="0"/>
    <x v="471"/>
    <x v="100"/>
    <x v="0"/>
    <x v="471"/>
    <x v="151"/>
  </r>
  <r>
    <x v="472"/>
    <x v="4"/>
    <x v="3"/>
    <x v="472"/>
    <x v="2"/>
    <x v="1"/>
    <x v="472"/>
    <x v="46"/>
  </r>
  <r>
    <x v="473"/>
    <x v="5"/>
    <x v="3"/>
    <x v="473"/>
    <x v="17"/>
    <x v="1"/>
    <x v="473"/>
    <x v="50"/>
  </r>
  <r>
    <x v="474"/>
    <x v="0"/>
    <x v="2"/>
    <x v="474"/>
    <x v="10"/>
    <x v="1"/>
    <x v="474"/>
    <x v="24"/>
  </r>
  <r>
    <x v="475"/>
    <x v="1"/>
    <x v="0"/>
    <x v="475"/>
    <x v="46"/>
    <x v="1"/>
    <x v="475"/>
    <x v="63"/>
  </r>
  <r>
    <x v="476"/>
    <x v="2"/>
    <x v="2"/>
    <x v="476"/>
    <x v="51"/>
    <x v="1"/>
    <x v="476"/>
    <x v="37"/>
  </r>
  <r>
    <x v="477"/>
    <x v="3"/>
    <x v="4"/>
    <x v="477"/>
    <x v="16"/>
    <x v="1"/>
    <x v="477"/>
    <x v="28"/>
  </r>
  <r>
    <x v="478"/>
    <x v="4"/>
    <x v="0"/>
    <x v="478"/>
    <x v="135"/>
    <x v="1"/>
    <x v="478"/>
    <x v="149"/>
  </r>
  <r>
    <x v="479"/>
    <x v="5"/>
    <x v="0"/>
    <x v="479"/>
    <x v="96"/>
    <x v="1"/>
    <x v="479"/>
    <x v="89"/>
  </r>
  <r>
    <x v="480"/>
    <x v="0"/>
    <x v="0"/>
    <x v="480"/>
    <x v="142"/>
    <x v="0"/>
    <x v="480"/>
    <x v="146"/>
  </r>
  <r>
    <x v="481"/>
    <x v="1"/>
    <x v="1"/>
    <x v="481"/>
    <x v="116"/>
    <x v="1"/>
    <x v="481"/>
    <x v="160"/>
  </r>
  <r>
    <x v="482"/>
    <x v="2"/>
    <x v="0"/>
    <x v="482"/>
    <x v="3"/>
    <x v="0"/>
    <x v="482"/>
    <x v="156"/>
  </r>
  <r>
    <x v="483"/>
    <x v="3"/>
    <x v="2"/>
    <x v="483"/>
    <x v="127"/>
    <x v="1"/>
    <x v="483"/>
    <x v="20"/>
  </r>
  <r>
    <x v="484"/>
    <x v="4"/>
    <x v="3"/>
    <x v="484"/>
    <x v="0"/>
    <x v="0"/>
    <x v="484"/>
    <x v="0"/>
  </r>
  <r>
    <x v="485"/>
    <x v="5"/>
    <x v="3"/>
    <x v="485"/>
    <x v="143"/>
    <x v="0"/>
    <x v="485"/>
    <x v="106"/>
  </r>
  <r>
    <x v="486"/>
    <x v="0"/>
    <x v="2"/>
    <x v="486"/>
    <x v="84"/>
    <x v="0"/>
    <x v="486"/>
    <x v="90"/>
  </r>
  <r>
    <x v="487"/>
    <x v="1"/>
    <x v="3"/>
    <x v="487"/>
    <x v="130"/>
    <x v="0"/>
    <x v="487"/>
    <x v="63"/>
  </r>
  <r>
    <x v="488"/>
    <x v="2"/>
    <x v="1"/>
    <x v="488"/>
    <x v="57"/>
    <x v="0"/>
    <x v="488"/>
    <x v="31"/>
  </r>
  <r>
    <x v="489"/>
    <x v="3"/>
    <x v="0"/>
    <x v="489"/>
    <x v="38"/>
    <x v="0"/>
    <x v="489"/>
    <x v="40"/>
  </r>
  <r>
    <x v="490"/>
    <x v="4"/>
    <x v="2"/>
    <x v="490"/>
    <x v="55"/>
    <x v="0"/>
    <x v="490"/>
    <x v="58"/>
  </r>
  <r>
    <x v="491"/>
    <x v="5"/>
    <x v="3"/>
    <x v="491"/>
    <x v="97"/>
    <x v="0"/>
    <x v="491"/>
    <x v="103"/>
  </r>
  <r>
    <x v="492"/>
    <x v="0"/>
    <x v="1"/>
    <x v="492"/>
    <x v="12"/>
    <x v="0"/>
    <x v="492"/>
    <x v="12"/>
  </r>
  <r>
    <x v="493"/>
    <x v="1"/>
    <x v="1"/>
    <x v="493"/>
    <x v="101"/>
    <x v="0"/>
    <x v="493"/>
    <x v="107"/>
  </r>
  <r>
    <x v="494"/>
    <x v="2"/>
    <x v="2"/>
    <x v="494"/>
    <x v="103"/>
    <x v="1"/>
    <x v="494"/>
    <x v="109"/>
  </r>
  <r>
    <x v="495"/>
    <x v="3"/>
    <x v="2"/>
    <x v="495"/>
    <x v="70"/>
    <x v="0"/>
    <x v="495"/>
    <x v="84"/>
  </r>
  <r>
    <x v="496"/>
    <x v="4"/>
    <x v="2"/>
    <x v="496"/>
    <x v="53"/>
    <x v="0"/>
    <x v="496"/>
    <x v="143"/>
  </r>
  <r>
    <x v="497"/>
    <x v="5"/>
    <x v="0"/>
    <x v="497"/>
    <x v="139"/>
    <x v="0"/>
    <x v="497"/>
    <x v="117"/>
  </r>
  <r>
    <x v="498"/>
    <x v="0"/>
    <x v="4"/>
    <x v="498"/>
    <x v="121"/>
    <x v="1"/>
    <x v="498"/>
    <x v="100"/>
  </r>
  <r>
    <x v="499"/>
    <x v="1"/>
    <x v="3"/>
    <x v="499"/>
    <x v="40"/>
    <x v="0"/>
    <x v="499"/>
    <x v="42"/>
  </r>
  <r>
    <x v="500"/>
    <x v="2"/>
    <x v="2"/>
    <x v="500"/>
    <x v="142"/>
    <x v="1"/>
    <x v="500"/>
    <x v="158"/>
  </r>
  <r>
    <x v="501"/>
    <x v="3"/>
    <x v="0"/>
    <x v="501"/>
    <x v="137"/>
    <x v="0"/>
    <x v="501"/>
    <x v="108"/>
  </r>
  <r>
    <x v="502"/>
    <x v="4"/>
    <x v="2"/>
    <x v="502"/>
    <x v="46"/>
    <x v="0"/>
    <x v="502"/>
    <x v="13"/>
  </r>
  <r>
    <x v="503"/>
    <x v="5"/>
    <x v="3"/>
    <x v="503"/>
    <x v="114"/>
    <x v="0"/>
    <x v="503"/>
    <x v="131"/>
  </r>
  <r>
    <x v="504"/>
    <x v="0"/>
    <x v="0"/>
    <x v="504"/>
    <x v="0"/>
    <x v="1"/>
    <x v="504"/>
    <x v="3"/>
  </r>
  <r>
    <x v="505"/>
    <x v="1"/>
    <x v="1"/>
    <x v="505"/>
    <x v="84"/>
    <x v="1"/>
    <x v="505"/>
    <x v="156"/>
  </r>
  <r>
    <x v="506"/>
    <x v="2"/>
    <x v="4"/>
    <x v="506"/>
    <x v="90"/>
    <x v="1"/>
    <x v="506"/>
    <x v="147"/>
  </r>
  <r>
    <x v="507"/>
    <x v="3"/>
    <x v="2"/>
    <x v="507"/>
    <x v="25"/>
    <x v="1"/>
    <x v="507"/>
    <x v="101"/>
  </r>
  <r>
    <x v="508"/>
    <x v="4"/>
    <x v="0"/>
    <x v="508"/>
    <x v="90"/>
    <x v="1"/>
    <x v="508"/>
    <x v="147"/>
  </r>
  <r>
    <x v="509"/>
    <x v="5"/>
    <x v="2"/>
    <x v="509"/>
    <x v="50"/>
    <x v="0"/>
    <x v="509"/>
    <x v="112"/>
  </r>
  <r>
    <x v="510"/>
    <x v="0"/>
    <x v="2"/>
    <x v="510"/>
    <x v="63"/>
    <x v="1"/>
    <x v="510"/>
    <x v="66"/>
  </r>
  <r>
    <x v="511"/>
    <x v="1"/>
    <x v="1"/>
    <x v="511"/>
    <x v="124"/>
    <x v="1"/>
    <x v="511"/>
    <x v="130"/>
  </r>
  <r>
    <x v="512"/>
    <x v="2"/>
    <x v="0"/>
    <x v="512"/>
    <x v="37"/>
    <x v="1"/>
    <x v="512"/>
    <x v="10"/>
  </r>
  <r>
    <x v="513"/>
    <x v="3"/>
    <x v="0"/>
    <x v="513"/>
    <x v="42"/>
    <x v="1"/>
    <x v="513"/>
    <x v="44"/>
  </r>
  <r>
    <x v="514"/>
    <x v="4"/>
    <x v="2"/>
    <x v="514"/>
    <x v="60"/>
    <x v="0"/>
    <x v="514"/>
    <x v="62"/>
  </r>
  <r>
    <x v="515"/>
    <x v="5"/>
    <x v="2"/>
    <x v="515"/>
    <x v="46"/>
    <x v="1"/>
    <x v="515"/>
    <x v="63"/>
  </r>
  <r>
    <x v="516"/>
    <x v="0"/>
    <x v="0"/>
    <x v="516"/>
    <x v="82"/>
    <x v="0"/>
    <x v="516"/>
    <x v="87"/>
  </r>
  <r>
    <x v="517"/>
    <x v="1"/>
    <x v="0"/>
    <x v="517"/>
    <x v="111"/>
    <x v="1"/>
    <x v="517"/>
    <x v="90"/>
  </r>
  <r>
    <x v="518"/>
    <x v="2"/>
    <x v="1"/>
    <x v="518"/>
    <x v="102"/>
    <x v="0"/>
    <x v="518"/>
    <x v="15"/>
  </r>
  <r>
    <x v="519"/>
    <x v="3"/>
    <x v="0"/>
    <x v="519"/>
    <x v="7"/>
    <x v="1"/>
    <x v="519"/>
    <x v="73"/>
  </r>
  <r>
    <x v="520"/>
    <x v="4"/>
    <x v="1"/>
    <x v="520"/>
    <x v="51"/>
    <x v="1"/>
    <x v="520"/>
    <x v="37"/>
  </r>
  <r>
    <x v="521"/>
    <x v="5"/>
    <x v="3"/>
    <x v="521"/>
    <x v="61"/>
    <x v="0"/>
    <x v="521"/>
    <x v="64"/>
  </r>
  <r>
    <x v="522"/>
    <x v="0"/>
    <x v="0"/>
    <x v="522"/>
    <x v="120"/>
    <x v="1"/>
    <x v="522"/>
    <x v="41"/>
  </r>
  <r>
    <x v="523"/>
    <x v="1"/>
    <x v="3"/>
    <x v="523"/>
    <x v="82"/>
    <x v="0"/>
    <x v="523"/>
    <x v="87"/>
  </r>
  <r>
    <x v="524"/>
    <x v="2"/>
    <x v="1"/>
    <x v="524"/>
    <x v="30"/>
    <x v="0"/>
    <x v="524"/>
    <x v="54"/>
  </r>
  <r>
    <x v="525"/>
    <x v="3"/>
    <x v="0"/>
    <x v="525"/>
    <x v="128"/>
    <x v="0"/>
    <x v="525"/>
    <x v="142"/>
  </r>
  <r>
    <x v="526"/>
    <x v="4"/>
    <x v="0"/>
    <x v="526"/>
    <x v="98"/>
    <x v="1"/>
    <x v="526"/>
    <x v="140"/>
  </r>
  <r>
    <x v="527"/>
    <x v="5"/>
    <x v="3"/>
    <x v="527"/>
    <x v="144"/>
    <x v="0"/>
    <x v="527"/>
    <x v="5"/>
  </r>
  <r>
    <x v="528"/>
    <x v="0"/>
    <x v="3"/>
    <x v="528"/>
    <x v="92"/>
    <x v="1"/>
    <x v="528"/>
    <x v="62"/>
  </r>
  <r>
    <x v="529"/>
    <x v="1"/>
    <x v="1"/>
    <x v="529"/>
    <x v="139"/>
    <x v="1"/>
    <x v="529"/>
    <x v="35"/>
  </r>
  <r>
    <x v="530"/>
    <x v="2"/>
    <x v="2"/>
    <x v="530"/>
    <x v="127"/>
    <x v="1"/>
    <x v="530"/>
    <x v="20"/>
  </r>
  <r>
    <x v="531"/>
    <x v="3"/>
    <x v="3"/>
    <x v="531"/>
    <x v="52"/>
    <x v="1"/>
    <x v="531"/>
    <x v="142"/>
  </r>
  <r>
    <x v="532"/>
    <x v="4"/>
    <x v="0"/>
    <x v="532"/>
    <x v="63"/>
    <x v="1"/>
    <x v="532"/>
    <x v="66"/>
  </r>
  <r>
    <x v="533"/>
    <x v="5"/>
    <x v="0"/>
    <x v="533"/>
    <x v="125"/>
    <x v="0"/>
    <x v="533"/>
    <x v="134"/>
  </r>
  <r>
    <x v="534"/>
    <x v="0"/>
    <x v="2"/>
    <x v="534"/>
    <x v="113"/>
    <x v="0"/>
    <x v="534"/>
    <x v="123"/>
  </r>
  <r>
    <x v="535"/>
    <x v="1"/>
    <x v="0"/>
    <x v="535"/>
    <x v="75"/>
    <x v="1"/>
    <x v="535"/>
    <x v="81"/>
  </r>
  <r>
    <x v="536"/>
    <x v="2"/>
    <x v="3"/>
    <x v="536"/>
    <x v="124"/>
    <x v="1"/>
    <x v="536"/>
    <x v="130"/>
  </r>
  <r>
    <x v="537"/>
    <x v="3"/>
    <x v="1"/>
    <x v="537"/>
    <x v="88"/>
    <x v="1"/>
    <x v="537"/>
    <x v="92"/>
  </r>
  <r>
    <x v="538"/>
    <x v="4"/>
    <x v="2"/>
    <x v="538"/>
    <x v="120"/>
    <x v="0"/>
    <x v="538"/>
    <x v="130"/>
  </r>
  <r>
    <x v="539"/>
    <x v="5"/>
    <x v="1"/>
    <x v="539"/>
    <x v="144"/>
    <x v="0"/>
    <x v="539"/>
    <x v="5"/>
  </r>
  <r>
    <x v="540"/>
    <x v="0"/>
    <x v="1"/>
    <x v="540"/>
    <x v="69"/>
    <x v="1"/>
    <x v="540"/>
    <x v="72"/>
  </r>
  <r>
    <x v="541"/>
    <x v="1"/>
    <x v="2"/>
    <x v="541"/>
    <x v="64"/>
    <x v="1"/>
    <x v="541"/>
    <x v="40"/>
  </r>
  <r>
    <x v="542"/>
    <x v="2"/>
    <x v="0"/>
    <x v="542"/>
    <x v="144"/>
    <x v="0"/>
    <x v="542"/>
    <x v="5"/>
  </r>
  <r>
    <x v="543"/>
    <x v="3"/>
    <x v="0"/>
    <x v="543"/>
    <x v="0"/>
    <x v="1"/>
    <x v="543"/>
    <x v="3"/>
  </r>
  <r>
    <x v="544"/>
    <x v="4"/>
    <x v="1"/>
    <x v="544"/>
    <x v="66"/>
    <x v="0"/>
    <x v="544"/>
    <x v="69"/>
  </r>
  <r>
    <x v="545"/>
    <x v="5"/>
    <x v="1"/>
    <x v="545"/>
    <x v="93"/>
    <x v="0"/>
    <x v="545"/>
    <x v="36"/>
  </r>
  <r>
    <x v="546"/>
    <x v="0"/>
    <x v="3"/>
    <x v="546"/>
    <x v="0"/>
    <x v="0"/>
    <x v="546"/>
    <x v="0"/>
  </r>
  <r>
    <x v="547"/>
    <x v="1"/>
    <x v="3"/>
    <x v="547"/>
    <x v="87"/>
    <x v="0"/>
    <x v="547"/>
    <x v="38"/>
  </r>
  <r>
    <x v="548"/>
    <x v="2"/>
    <x v="1"/>
    <x v="548"/>
    <x v="106"/>
    <x v="1"/>
    <x v="548"/>
    <x v="18"/>
  </r>
  <r>
    <x v="549"/>
    <x v="3"/>
    <x v="0"/>
    <x v="549"/>
    <x v="97"/>
    <x v="1"/>
    <x v="549"/>
    <x v="123"/>
  </r>
  <r>
    <x v="550"/>
    <x v="4"/>
    <x v="1"/>
    <x v="550"/>
    <x v="61"/>
    <x v="0"/>
    <x v="550"/>
    <x v="64"/>
  </r>
  <r>
    <x v="551"/>
    <x v="5"/>
    <x v="2"/>
    <x v="551"/>
    <x v="26"/>
    <x v="0"/>
    <x v="551"/>
    <x v="126"/>
  </r>
  <r>
    <x v="552"/>
    <x v="0"/>
    <x v="3"/>
    <x v="552"/>
    <x v="94"/>
    <x v="0"/>
    <x v="552"/>
    <x v="100"/>
  </r>
  <r>
    <x v="553"/>
    <x v="1"/>
    <x v="1"/>
    <x v="553"/>
    <x v="108"/>
    <x v="1"/>
    <x v="553"/>
    <x v="161"/>
  </r>
  <r>
    <x v="554"/>
    <x v="2"/>
    <x v="3"/>
    <x v="554"/>
    <x v="137"/>
    <x v="1"/>
    <x v="554"/>
    <x v="162"/>
  </r>
  <r>
    <x v="555"/>
    <x v="3"/>
    <x v="0"/>
    <x v="555"/>
    <x v="142"/>
    <x v="0"/>
    <x v="555"/>
    <x v="146"/>
  </r>
  <r>
    <x v="556"/>
    <x v="4"/>
    <x v="2"/>
    <x v="556"/>
    <x v="30"/>
    <x v="0"/>
    <x v="556"/>
    <x v="54"/>
  </r>
  <r>
    <x v="557"/>
    <x v="5"/>
    <x v="1"/>
    <x v="557"/>
    <x v="5"/>
    <x v="0"/>
    <x v="557"/>
    <x v="6"/>
  </r>
  <r>
    <x v="558"/>
    <x v="0"/>
    <x v="1"/>
    <x v="558"/>
    <x v="94"/>
    <x v="0"/>
    <x v="558"/>
    <x v="100"/>
  </r>
  <r>
    <x v="559"/>
    <x v="1"/>
    <x v="2"/>
    <x v="559"/>
    <x v="94"/>
    <x v="1"/>
    <x v="559"/>
    <x v="102"/>
  </r>
  <r>
    <x v="560"/>
    <x v="2"/>
    <x v="1"/>
    <x v="560"/>
    <x v="25"/>
    <x v="1"/>
    <x v="560"/>
    <x v="101"/>
  </r>
  <r>
    <x v="561"/>
    <x v="3"/>
    <x v="0"/>
    <x v="561"/>
    <x v="113"/>
    <x v="0"/>
    <x v="561"/>
    <x v="123"/>
  </r>
  <r>
    <x v="562"/>
    <x v="4"/>
    <x v="0"/>
    <x v="562"/>
    <x v="2"/>
    <x v="1"/>
    <x v="562"/>
    <x v="46"/>
  </r>
  <r>
    <x v="563"/>
    <x v="5"/>
    <x v="3"/>
    <x v="563"/>
    <x v="51"/>
    <x v="1"/>
    <x v="563"/>
    <x v="37"/>
  </r>
  <r>
    <x v="564"/>
    <x v="0"/>
    <x v="1"/>
    <x v="564"/>
    <x v="19"/>
    <x v="1"/>
    <x v="564"/>
    <x v="120"/>
  </r>
  <r>
    <x v="565"/>
    <x v="1"/>
    <x v="0"/>
    <x v="565"/>
    <x v="69"/>
    <x v="0"/>
    <x v="565"/>
    <x v="118"/>
  </r>
  <r>
    <x v="566"/>
    <x v="2"/>
    <x v="0"/>
    <x v="566"/>
    <x v="41"/>
    <x v="0"/>
    <x v="566"/>
    <x v="43"/>
  </r>
  <r>
    <x v="567"/>
    <x v="3"/>
    <x v="4"/>
    <x v="567"/>
    <x v="145"/>
    <x v="0"/>
    <x v="567"/>
    <x v="102"/>
  </r>
  <r>
    <x v="568"/>
    <x v="4"/>
    <x v="3"/>
    <x v="568"/>
    <x v="65"/>
    <x v="0"/>
    <x v="568"/>
    <x v="33"/>
  </r>
  <r>
    <x v="569"/>
    <x v="5"/>
    <x v="4"/>
    <x v="569"/>
    <x v="59"/>
    <x v="1"/>
    <x v="569"/>
    <x v="88"/>
  </r>
  <r>
    <x v="570"/>
    <x v="0"/>
    <x v="2"/>
    <x v="570"/>
    <x v="94"/>
    <x v="0"/>
    <x v="570"/>
    <x v="100"/>
  </r>
  <r>
    <x v="571"/>
    <x v="1"/>
    <x v="3"/>
    <x v="571"/>
    <x v="25"/>
    <x v="1"/>
    <x v="571"/>
    <x v="101"/>
  </r>
  <r>
    <x v="572"/>
    <x v="2"/>
    <x v="0"/>
    <x v="572"/>
    <x v="39"/>
    <x v="0"/>
    <x v="572"/>
    <x v="41"/>
  </r>
  <r>
    <x v="573"/>
    <x v="3"/>
    <x v="3"/>
    <x v="573"/>
    <x v="14"/>
    <x v="0"/>
    <x v="573"/>
    <x v="163"/>
  </r>
  <r>
    <x v="574"/>
    <x v="4"/>
    <x v="2"/>
    <x v="574"/>
    <x v="104"/>
    <x v="0"/>
    <x v="574"/>
    <x v="92"/>
  </r>
  <r>
    <x v="575"/>
    <x v="5"/>
    <x v="3"/>
    <x v="575"/>
    <x v="76"/>
    <x v="1"/>
    <x v="575"/>
    <x v="82"/>
  </r>
  <r>
    <x v="576"/>
    <x v="0"/>
    <x v="3"/>
    <x v="576"/>
    <x v="52"/>
    <x v="0"/>
    <x v="576"/>
    <x v="53"/>
  </r>
  <r>
    <x v="577"/>
    <x v="1"/>
    <x v="3"/>
    <x v="577"/>
    <x v="58"/>
    <x v="0"/>
    <x v="577"/>
    <x v="59"/>
  </r>
  <r>
    <x v="578"/>
    <x v="2"/>
    <x v="3"/>
    <x v="578"/>
    <x v="57"/>
    <x v="1"/>
    <x v="578"/>
    <x v="8"/>
  </r>
  <r>
    <x v="579"/>
    <x v="3"/>
    <x v="0"/>
    <x v="579"/>
    <x v="57"/>
    <x v="0"/>
    <x v="579"/>
    <x v="31"/>
  </r>
  <r>
    <x v="580"/>
    <x v="4"/>
    <x v="2"/>
    <x v="580"/>
    <x v="104"/>
    <x v="1"/>
    <x v="580"/>
    <x v="110"/>
  </r>
  <r>
    <x v="581"/>
    <x v="5"/>
    <x v="2"/>
    <x v="581"/>
    <x v="127"/>
    <x v="1"/>
    <x v="581"/>
    <x v="20"/>
  </r>
  <r>
    <x v="582"/>
    <x v="0"/>
    <x v="0"/>
    <x v="582"/>
    <x v="27"/>
    <x v="0"/>
    <x v="582"/>
    <x v="111"/>
  </r>
  <r>
    <x v="583"/>
    <x v="1"/>
    <x v="4"/>
    <x v="583"/>
    <x v="57"/>
    <x v="1"/>
    <x v="583"/>
    <x v="8"/>
  </r>
  <r>
    <x v="584"/>
    <x v="2"/>
    <x v="0"/>
    <x v="584"/>
    <x v="28"/>
    <x v="1"/>
    <x v="584"/>
    <x v="31"/>
  </r>
  <r>
    <x v="585"/>
    <x v="3"/>
    <x v="2"/>
    <x v="585"/>
    <x v="45"/>
    <x v="1"/>
    <x v="585"/>
    <x v="47"/>
  </r>
  <r>
    <x v="586"/>
    <x v="4"/>
    <x v="3"/>
    <x v="586"/>
    <x v="16"/>
    <x v="1"/>
    <x v="586"/>
    <x v="28"/>
  </r>
  <r>
    <x v="587"/>
    <x v="5"/>
    <x v="3"/>
    <x v="587"/>
    <x v="105"/>
    <x v="0"/>
    <x v="587"/>
    <x v="136"/>
  </r>
  <r>
    <x v="588"/>
    <x v="0"/>
    <x v="3"/>
    <x v="588"/>
    <x v="86"/>
    <x v="0"/>
    <x v="588"/>
    <x v="52"/>
  </r>
  <r>
    <x v="589"/>
    <x v="1"/>
    <x v="1"/>
    <x v="589"/>
    <x v="33"/>
    <x v="0"/>
    <x v="589"/>
    <x v="76"/>
  </r>
  <r>
    <x v="590"/>
    <x v="2"/>
    <x v="2"/>
    <x v="590"/>
    <x v="82"/>
    <x v="1"/>
    <x v="590"/>
    <x v="115"/>
  </r>
  <r>
    <x v="591"/>
    <x v="3"/>
    <x v="1"/>
    <x v="591"/>
    <x v="135"/>
    <x v="0"/>
    <x v="591"/>
    <x v="155"/>
  </r>
  <r>
    <x v="592"/>
    <x v="4"/>
    <x v="1"/>
    <x v="592"/>
    <x v="62"/>
    <x v="0"/>
    <x v="592"/>
    <x v="65"/>
  </r>
  <r>
    <x v="593"/>
    <x v="5"/>
    <x v="0"/>
    <x v="593"/>
    <x v="12"/>
    <x v="1"/>
    <x v="593"/>
    <x v="21"/>
  </r>
  <r>
    <x v="594"/>
    <x v="0"/>
    <x v="1"/>
    <x v="594"/>
    <x v="4"/>
    <x v="0"/>
    <x v="594"/>
    <x v="39"/>
  </r>
  <r>
    <x v="595"/>
    <x v="1"/>
    <x v="2"/>
    <x v="595"/>
    <x v="132"/>
    <x v="1"/>
    <x v="595"/>
    <x v="145"/>
  </r>
  <r>
    <x v="596"/>
    <x v="2"/>
    <x v="0"/>
    <x v="596"/>
    <x v="92"/>
    <x v="1"/>
    <x v="596"/>
    <x v="62"/>
  </r>
  <r>
    <x v="597"/>
    <x v="3"/>
    <x v="0"/>
    <x v="597"/>
    <x v="58"/>
    <x v="1"/>
    <x v="597"/>
    <x v="164"/>
  </r>
  <r>
    <x v="598"/>
    <x v="4"/>
    <x v="0"/>
    <x v="598"/>
    <x v="84"/>
    <x v="0"/>
    <x v="598"/>
    <x v="90"/>
  </r>
  <r>
    <x v="599"/>
    <x v="5"/>
    <x v="1"/>
    <x v="599"/>
    <x v="84"/>
    <x v="1"/>
    <x v="599"/>
    <x v="156"/>
  </r>
  <r>
    <x v="600"/>
    <x v="0"/>
    <x v="3"/>
    <x v="600"/>
    <x v="0"/>
    <x v="1"/>
    <x v="600"/>
    <x v="3"/>
  </r>
  <r>
    <x v="601"/>
    <x v="1"/>
    <x v="1"/>
    <x v="601"/>
    <x v="62"/>
    <x v="0"/>
    <x v="601"/>
    <x v="65"/>
  </r>
  <r>
    <x v="602"/>
    <x v="2"/>
    <x v="2"/>
    <x v="602"/>
    <x v="28"/>
    <x v="1"/>
    <x v="602"/>
    <x v="31"/>
  </r>
  <r>
    <x v="603"/>
    <x v="3"/>
    <x v="2"/>
    <x v="603"/>
    <x v="126"/>
    <x v="1"/>
    <x v="603"/>
    <x v="114"/>
  </r>
  <r>
    <x v="604"/>
    <x v="4"/>
    <x v="4"/>
    <x v="604"/>
    <x v="41"/>
    <x v="1"/>
    <x v="604"/>
    <x v="144"/>
  </r>
  <r>
    <x v="605"/>
    <x v="5"/>
    <x v="4"/>
    <x v="605"/>
    <x v="103"/>
    <x v="1"/>
    <x v="605"/>
    <x v="109"/>
  </r>
  <r>
    <x v="606"/>
    <x v="0"/>
    <x v="0"/>
    <x v="606"/>
    <x v="19"/>
    <x v="0"/>
    <x v="606"/>
    <x v="20"/>
  </r>
  <r>
    <x v="607"/>
    <x v="1"/>
    <x v="0"/>
    <x v="607"/>
    <x v="49"/>
    <x v="0"/>
    <x v="607"/>
    <x v="32"/>
  </r>
  <r>
    <x v="608"/>
    <x v="2"/>
    <x v="0"/>
    <x v="608"/>
    <x v="119"/>
    <x v="1"/>
    <x v="608"/>
    <x v="9"/>
  </r>
  <r>
    <x v="609"/>
    <x v="3"/>
    <x v="2"/>
    <x v="609"/>
    <x v="60"/>
    <x v="1"/>
    <x v="609"/>
    <x v="118"/>
  </r>
  <r>
    <x v="610"/>
    <x v="4"/>
    <x v="3"/>
    <x v="610"/>
    <x v="56"/>
    <x v="0"/>
    <x v="610"/>
    <x v="154"/>
  </r>
  <r>
    <x v="611"/>
    <x v="5"/>
    <x v="2"/>
    <x v="611"/>
    <x v="53"/>
    <x v="0"/>
    <x v="611"/>
    <x v="143"/>
  </r>
  <r>
    <x v="612"/>
    <x v="0"/>
    <x v="4"/>
    <x v="612"/>
    <x v="0"/>
    <x v="0"/>
    <x v="612"/>
    <x v="0"/>
  </r>
  <r>
    <x v="613"/>
    <x v="1"/>
    <x v="1"/>
    <x v="613"/>
    <x v="39"/>
    <x v="1"/>
    <x v="613"/>
    <x v="111"/>
  </r>
  <r>
    <x v="614"/>
    <x v="2"/>
    <x v="3"/>
    <x v="614"/>
    <x v="36"/>
    <x v="0"/>
    <x v="614"/>
    <x v="152"/>
  </r>
  <r>
    <x v="615"/>
    <x v="3"/>
    <x v="2"/>
    <x v="615"/>
    <x v="66"/>
    <x v="0"/>
    <x v="615"/>
    <x v="69"/>
  </r>
  <r>
    <x v="616"/>
    <x v="4"/>
    <x v="1"/>
    <x v="616"/>
    <x v="16"/>
    <x v="1"/>
    <x v="616"/>
    <x v="28"/>
  </r>
  <r>
    <x v="617"/>
    <x v="5"/>
    <x v="0"/>
    <x v="617"/>
    <x v="65"/>
    <x v="0"/>
    <x v="617"/>
    <x v="33"/>
  </r>
  <r>
    <x v="618"/>
    <x v="0"/>
    <x v="0"/>
    <x v="618"/>
    <x v="65"/>
    <x v="0"/>
    <x v="618"/>
    <x v="33"/>
  </r>
  <r>
    <x v="619"/>
    <x v="1"/>
    <x v="4"/>
    <x v="619"/>
    <x v="0"/>
    <x v="0"/>
    <x v="619"/>
    <x v="0"/>
  </r>
  <r>
    <x v="620"/>
    <x v="2"/>
    <x v="0"/>
    <x v="620"/>
    <x v="24"/>
    <x v="0"/>
    <x v="620"/>
    <x v="96"/>
  </r>
  <r>
    <x v="621"/>
    <x v="3"/>
    <x v="3"/>
    <x v="621"/>
    <x v="32"/>
    <x v="1"/>
    <x v="621"/>
    <x v="155"/>
  </r>
  <r>
    <x v="622"/>
    <x v="4"/>
    <x v="1"/>
    <x v="622"/>
    <x v="47"/>
    <x v="1"/>
    <x v="622"/>
    <x v="61"/>
  </r>
  <r>
    <x v="623"/>
    <x v="5"/>
    <x v="2"/>
    <x v="623"/>
    <x v="31"/>
    <x v="0"/>
    <x v="623"/>
    <x v="50"/>
  </r>
  <r>
    <x v="624"/>
    <x v="0"/>
    <x v="2"/>
    <x v="624"/>
    <x v="58"/>
    <x v="1"/>
    <x v="624"/>
    <x v="164"/>
  </r>
  <r>
    <x v="625"/>
    <x v="1"/>
    <x v="0"/>
    <x v="625"/>
    <x v="131"/>
    <x v="1"/>
    <x v="625"/>
    <x v="57"/>
  </r>
  <r>
    <x v="626"/>
    <x v="2"/>
    <x v="3"/>
    <x v="626"/>
    <x v="115"/>
    <x v="1"/>
    <x v="626"/>
    <x v="59"/>
  </r>
  <r>
    <x v="627"/>
    <x v="3"/>
    <x v="3"/>
    <x v="627"/>
    <x v="58"/>
    <x v="1"/>
    <x v="627"/>
    <x v="164"/>
  </r>
  <r>
    <x v="628"/>
    <x v="4"/>
    <x v="2"/>
    <x v="628"/>
    <x v="57"/>
    <x v="1"/>
    <x v="628"/>
    <x v="8"/>
  </r>
  <r>
    <x v="629"/>
    <x v="5"/>
    <x v="4"/>
    <x v="629"/>
    <x v="54"/>
    <x v="0"/>
    <x v="629"/>
    <x v="57"/>
  </r>
  <r>
    <x v="630"/>
    <x v="0"/>
    <x v="4"/>
    <x v="630"/>
    <x v="123"/>
    <x v="1"/>
    <x v="630"/>
    <x v="64"/>
  </r>
  <r>
    <x v="631"/>
    <x v="1"/>
    <x v="2"/>
    <x v="631"/>
    <x v="19"/>
    <x v="0"/>
    <x v="631"/>
    <x v="20"/>
  </r>
  <r>
    <x v="632"/>
    <x v="2"/>
    <x v="0"/>
    <x v="632"/>
    <x v="101"/>
    <x v="1"/>
    <x v="632"/>
    <x v="165"/>
  </r>
  <r>
    <x v="633"/>
    <x v="3"/>
    <x v="3"/>
    <x v="633"/>
    <x v="16"/>
    <x v="1"/>
    <x v="633"/>
    <x v="28"/>
  </r>
  <r>
    <x v="634"/>
    <x v="4"/>
    <x v="2"/>
    <x v="634"/>
    <x v="140"/>
    <x v="1"/>
    <x v="634"/>
    <x v="159"/>
  </r>
  <r>
    <x v="635"/>
    <x v="5"/>
    <x v="1"/>
    <x v="635"/>
    <x v="102"/>
    <x v="1"/>
    <x v="635"/>
    <x v="108"/>
  </r>
  <r>
    <x v="636"/>
    <x v="0"/>
    <x v="4"/>
    <x v="636"/>
    <x v="97"/>
    <x v="1"/>
    <x v="636"/>
    <x v="123"/>
  </r>
  <r>
    <x v="637"/>
    <x v="1"/>
    <x v="3"/>
    <x v="637"/>
    <x v="112"/>
    <x v="0"/>
    <x v="637"/>
    <x v="129"/>
  </r>
  <r>
    <x v="638"/>
    <x v="2"/>
    <x v="3"/>
    <x v="638"/>
    <x v="100"/>
    <x v="1"/>
    <x v="638"/>
    <x v="106"/>
  </r>
  <r>
    <x v="639"/>
    <x v="3"/>
    <x v="3"/>
    <x v="639"/>
    <x v="90"/>
    <x v="0"/>
    <x v="639"/>
    <x v="94"/>
  </r>
  <r>
    <x v="640"/>
    <x v="4"/>
    <x v="4"/>
    <x v="640"/>
    <x v="72"/>
    <x v="1"/>
    <x v="640"/>
    <x v="54"/>
  </r>
  <r>
    <x v="641"/>
    <x v="5"/>
    <x v="1"/>
    <x v="641"/>
    <x v="121"/>
    <x v="0"/>
    <x v="641"/>
    <x v="132"/>
  </r>
  <r>
    <x v="642"/>
    <x v="0"/>
    <x v="0"/>
    <x v="642"/>
    <x v="73"/>
    <x v="0"/>
    <x v="642"/>
    <x v="78"/>
  </r>
  <r>
    <x v="643"/>
    <x v="1"/>
    <x v="2"/>
    <x v="643"/>
    <x v="101"/>
    <x v="0"/>
    <x v="643"/>
    <x v="107"/>
  </r>
  <r>
    <x v="644"/>
    <x v="2"/>
    <x v="3"/>
    <x v="644"/>
    <x v="125"/>
    <x v="0"/>
    <x v="644"/>
    <x v="134"/>
  </r>
  <r>
    <x v="645"/>
    <x v="3"/>
    <x v="4"/>
    <x v="645"/>
    <x v="29"/>
    <x v="1"/>
    <x v="645"/>
    <x v="32"/>
  </r>
  <r>
    <x v="646"/>
    <x v="4"/>
    <x v="0"/>
    <x v="646"/>
    <x v="117"/>
    <x v="0"/>
    <x v="646"/>
    <x v="120"/>
  </r>
  <r>
    <x v="647"/>
    <x v="5"/>
    <x v="1"/>
    <x v="647"/>
    <x v="0"/>
    <x v="1"/>
    <x v="647"/>
    <x v="3"/>
  </r>
  <r>
    <x v="648"/>
    <x v="0"/>
    <x v="4"/>
    <x v="648"/>
    <x v="105"/>
    <x v="1"/>
    <x v="648"/>
    <x v="112"/>
  </r>
  <r>
    <x v="649"/>
    <x v="1"/>
    <x v="1"/>
    <x v="649"/>
    <x v="13"/>
    <x v="1"/>
    <x v="649"/>
    <x v="13"/>
  </r>
  <r>
    <x v="650"/>
    <x v="2"/>
    <x v="2"/>
    <x v="650"/>
    <x v="47"/>
    <x v="0"/>
    <x v="650"/>
    <x v="48"/>
  </r>
  <r>
    <x v="651"/>
    <x v="3"/>
    <x v="3"/>
    <x v="651"/>
    <x v="25"/>
    <x v="0"/>
    <x v="651"/>
    <x v="27"/>
  </r>
  <r>
    <x v="652"/>
    <x v="4"/>
    <x v="2"/>
    <x v="652"/>
    <x v="58"/>
    <x v="0"/>
    <x v="652"/>
    <x v="59"/>
  </r>
  <r>
    <x v="653"/>
    <x v="5"/>
    <x v="4"/>
    <x v="653"/>
    <x v="67"/>
    <x v="0"/>
    <x v="653"/>
    <x v="97"/>
  </r>
  <r>
    <x v="654"/>
    <x v="0"/>
    <x v="0"/>
    <x v="654"/>
    <x v="95"/>
    <x v="1"/>
    <x v="654"/>
    <x v="77"/>
  </r>
  <r>
    <x v="655"/>
    <x v="1"/>
    <x v="0"/>
    <x v="655"/>
    <x v="22"/>
    <x v="1"/>
    <x v="655"/>
    <x v="153"/>
  </r>
  <r>
    <x v="656"/>
    <x v="2"/>
    <x v="1"/>
    <x v="656"/>
    <x v="71"/>
    <x v="0"/>
    <x v="656"/>
    <x v="166"/>
  </r>
  <r>
    <x v="657"/>
    <x v="3"/>
    <x v="3"/>
    <x v="657"/>
    <x v="130"/>
    <x v="0"/>
    <x v="657"/>
    <x v="63"/>
  </r>
  <r>
    <x v="658"/>
    <x v="4"/>
    <x v="2"/>
    <x v="658"/>
    <x v="56"/>
    <x v="1"/>
    <x v="658"/>
    <x v="0"/>
  </r>
  <r>
    <x v="659"/>
    <x v="5"/>
    <x v="1"/>
    <x v="659"/>
    <x v="143"/>
    <x v="1"/>
    <x v="659"/>
    <x v="93"/>
  </r>
  <r>
    <x v="660"/>
    <x v="0"/>
    <x v="3"/>
    <x v="660"/>
    <x v="144"/>
    <x v="0"/>
    <x v="660"/>
    <x v="5"/>
  </r>
  <r>
    <x v="661"/>
    <x v="1"/>
    <x v="2"/>
    <x v="661"/>
    <x v="26"/>
    <x v="0"/>
    <x v="661"/>
    <x v="126"/>
  </r>
  <r>
    <x v="662"/>
    <x v="2"/>
    <x v="4"/>
    <x v="662"/>
    <x v="102"/>
    <x v="0"/>
    <x v="662"/>
    <x v="15"/>
  </r>
  <r>
    <x v="663"/>
    <x v="3"/>
    <x v="2"/>
    <x v="663"/>
    <x v="88"/>
    <x v="1"/>
    <x v="663"/>
    <x v="92"/>
  </r>
  <r>
    <x v="664"/>
    <x v="4"/>
    <x v="2"/>
    <x v="664"/>
    <x v="102"/>
    <x v="0"/>
    <x v="664"/>
    <x v="15"/>
  </r>
  <r>
    <x v="665"/>
    <x v="5"/>
    <x v="1"/>
    <x v="665"/>
    <x v="133"/>
    <x v="0"/>
    <x v="665"/>
    <x v="72"/>
  </r>
  <r>
    <x v="666"/>
    <x v="0"/>
    <x v="2"/>
    <x v="666"/>
    <x v="146"/>
    <x v="0"/>
    <x v="666"/>
    <x v="150"/>
  </r>
  <r>
    <x v="667"/>
    <x v="1"/>
    <x v="3"/>
    <x v="667"/>
    <x v="147"/>
    <x v="1"/>
    <x v="667"/>
    <x v="143"/>
  </r>
  <r>
    <x v="668"/>
    <x v="2"/>
    <x v="0"/>
    <x v="668"/>
    <x v="64"/>
    <x v="1"/>
    <x v="668"/>
    <x v="40"/>
  </r>
  <r>
    <x v="669"/>
    <x v="3"/>
    <x v="1"/>
    <x v="669"/>
    <x v="127"/>
    <x v="0"/>
    <x v="669"/>
    <x v="138"/>
  </r>
  <r>
    <x v="670"/>
    <x v="4"/>
    <x v="3"/>
    <x v="670"/>
    <x v="41"/>
    <x v="1"/>
    <x v="670"/>
    <x v="144"/>
  </r>
  <r>
    <x v="671"/>
    <x v="5"/>
    <x v="1"/>
    <x v="671"/>
    <x v="76"/>
    <x v="1"/>
    <x v="671"/>
    <x v="82"/>
  </r>
  <r>
    <x v="672"/>
    <x v="0"/>
    <x v="2"/>
    <x v="672"/>
    <x v="146"/>
    <x v="0"/>
    <x v="672"/>
    <x v="150"/>
  </r>
  <r>
    <x v="673"/>
    <x v="1"/>
    <x v="2"/>
    <x v="673"/>
    <x v="101"/>
    <x v="1"/>
    <x v="673"/>
    <x v="165"/>
  </r>
  <r>
    <x v="674"/>
    <x v="2"/>
    <x v="3"/>
    <x v="674"/>
    <x v="37"/>
    <x v="1"/>
    <x v="674"/>
    <x v="10"/>
  </r>
  <r>
    <x v="675"/>
    <x v="3"/>
    <x v="1"/>
    <x v="675"/>
    <x v="41"/>
    <x v="0"/>
    <x v="675"/>
    <x v="43"/>
  </r>
  <r>
    <x v="676"/>
    <x v="4"/>
    <x v="2"/>
    <x v="676"/>
    <x v="31"/>
    <x v="1"/>
    <x v="676"/>
    <x v="34"/>
  </r>
  <r>
    <x v="677"/>
    <x v="5"/>
    <x v="2"/>
    <x v="677"/>
    <x v="108"/>
    <x v="0"/>
    <x v="677"/>
    <x v="75"/>
  </r>
  <r>
    <x v="678"/>
    <x v="0"/>
    <x v="2"/>
    <x v="678"/>
    <x v="59"/>
    <x v="1"/>
    <x v="678"/>
    <x v="88"/>
  </r>
  <r>
    <x v="679"/>
    <x v="1"/>
    <x v="1"/>
    <x v="679"/>
    <x v="93"/>
    <x v="0"/>
    <x v="679"/>
    <x v="36"/>
  </r>
  <r>
    <x v="680"/>
    <x v="2"/>
    <x v="1"/>
    <x v="680"/>
    <x v="98"/>
    <x v="0"/>
    <x v="680"/>
    <x v="44"/>
  </r>
  <r>
    <x v="681"/>
    <x v="3"/>
    <x v="2"/>
    <x v="681"/>
    <x v="69"/>
    <x v="0"/>
    <x v="681"/>
    <x v="118"/>
  </r>
  <r>
    <x v="682"/>
    <x v="4"/>
    <x v="1"/>
    <x v="682"/>
    <x v="25"/>
    <x v="0"/>
    <x v="682"/>
    <x v="27"/>
  </r>
  <r>
    <x v="683"/>
    <x v="5"/>
    <x v="3"/>
    <x v="683"/>
    <x v="126"/>
    <x v="1"/>
    <x v="683"/>
    <x v="114"/>
  </r>
  <r>
    <x v="684"/>
    <x v="0"/>
    <x v="2"/>
    <x v="684"/>
    <x v="6"/>
    <x v="0"/>
    <x v="684"/>
    <x v="128"/>
  </r>
  <r>
    <x v="685"/>
    <x v="1"/>
    <x v="0"/>
    <x v="685"/>
    <x v="135"/>
    <x v="0"/>
    <x v="685"/>
    <x v="155"/>
  </r>
  <r>
    <x v="686"/>
    <x v="2"/>
    <x v="1"/>
    <x v="686"/>
    <x v="83"/>
    <x v="0"/>
    <x v="686"/>
    <x v="89"/>
  </r>
  <r>
    <x v="687"/>
    <x v="3"/>
    <x v="2"/>
    <x v="687"/>
    <x v="104"/>
    <x v="0"/>
    <x v="687"/>
    <x v="92"/>
  </r>
  <r>
    <x v="688"/>
    <x v="4"/>
    <x v="2"/>
    <x v="688"/>
    <x v="31"/>
    <x v="0"/>
    <x v="688"/>
    <x v="50"/>
  </r>
  <r>
    <x v="689"/>
    <x v="5"/>
    <x v="0"/>
    <x v="689"/>
    <x v="8"/>
    <x v="1"/>
    <x v="689"/>
    <x v="95"/>
  </r>
  <r>
    <x v="690"/>
    <x v="0"/>
    <x v="1"/>
    <x v="690"/>
    <x v="107"/>
    <x v="1"/>
    <x v="690"/>
    <x v="167"/>
  </r>
  <r>
    <x v="691"/>
    <x v="1"/>
    <x v="3"/>
    <x v="691"/>
    <x v="108"/>
    <x v="1"/>
    <x v="691"/>
    <x v="161"/>
  </r>
  <r>
    <x v="692"/>
    <x v="2"/>
    <x v="3"/>
    <x v="692"/>
    <x v="15"/>
    <x v="0"/>
    <x v="692"/>
    <x v="82"/>
  </r>
  <r>
    <x v="693"/>
    <x v="3"/>
    <x v="1"/>
    <x v="693"/>
    <x v="83"/>
    <x v="1"/>
    <x v="693"/>
    <x v="136"/>
  </r>
  <r>
    <x v="694"/>
    <x v="4"/>
    <x v="3"/>
    <x v="694"/>
    <x v="100"/>
    <x v="0"/>
    <x v="694"/>
    <x v="151"/>
  </r>
  <r>
    <x v="695"/>
    <x v="5"/>
    <x v="2"/>
    <x v="695"/>
    <x v="30"/>
    <x v="0"/>
    <x v="695"/>
    <x v="54"/>
  </r>
  <r>
    <x v="696"/>
    <x v="0"/>
    <x v="2"/>
    <x v="696"/>
    <x v="105"/>
    <x v="1"/>
    <x v="696"/>
    <x v="112"/>
  </r>
  <r>
    <x v="697"/>
    <x v="1"/>
    <x v="0"/>
    <x v="697"/>
    <x v="49"/>
    <x v="0"/>
    <x v="697"/>
    <x v="32"/>
  </r>
  <r>
    <x v="698"/>
    <x v="2"/>
    <x v="2"/>
    <x v="698"/>
    <x v="107"/>
    <x v="0"/>
    <x v="698"/>
    <x v="30"/>
  </r>
  <r>
    <x v="699"/>
    <x v="3"/>
    <x v="3"/>
    <x v="699"/>
    <x v="130"/>
    <x v="1"/>
    <x v="699"/>
    <x v="2"/>
  </r>
  <r>
    <x v="700"/>
    <x v="4"/>
    <x v="1"/>
    <x v="700"/>
    <x v="39"/>
    <x v="0"/>
    <x v="700"/>
    <x v="41"/>
  </r>
  <r>
    <x v="701"/>
    <x v="5"/>
    <x v="1"/>
    <x v="701"/>
    <x v="99"/>
    <x v="0"/>
    <x v="701"/>
    <x v="28"/>
  </r>
  <r>
    <x v="702"/>
    <x v="0"/>
    <x v="4"/>
    <x v="702"/>
    <x v="80"/>
    <x v="0"/>
    <x v="702"/>
    <x v="85"/>
  </r>
  <r>
    <x v="703"/>
    <x v="1"/>
    <x v="3"/>
    <x v="703"/>
    <x v="135"/>
    <x v="0"/>
    <x v="703"/>
    <x v="155"/>
  </r>
  <r>
    <x v="704"/>
    <x v="2"/>
    <x v="2"/>
    <x v="704"/>
    <x v="56"/>
    <x v="1"/>
    <x v="704"/>
    <x v="0"/>
  </r>
  <r>
    <x v="705"/>
    <x v="3"/>
    <x v="3"/>
    <x v="705"/>
    <x v="64"/>
    <x v="1"/>
    <x v="705"/>
    <x v="40"/>
  </r>
  <r>
    <x v="706"/>
    <x v="4"/>
    <x v="2"/>
    <x v="706"/>
    <x v="15"/>
    <x v="1"/>
    <x v="706"/>
    <x v="15"/>
  </r>
  <r>
    <x v="707"/>
    <x v="5"/>
    <x v="0"/>
    <x v="707"/>
    <x v="51"/>
    <x v="1"/>
    <x v="707"/>
    <x v="37"/>
  </r>
  <r>
    <x v="708"/>
    <x v="0"/>
    <x v="2"/>
    <x v="708"/>
    <x v="73"/>
    <x v="1"/>
    <x v="708"/>
    <x v="85"/>
  </r>
  <r>
    <x v="709"/>
    <x v="1"/>
    <x v="1"/>
    <x v="709"/>
    <x v="21"/>
    <x v="0"/>
    <x v="709"/>
    <x v="23"/>
  </r>
  <r>
    <x v="710"/>
    <x v="2"/>
    <x v="1"/>
    <x v="710"/>
    <x v="82"/>
    <x v="0"/>
    <x v="710"/>
    <x v="87"/>
  </r>
  <r>
    <x v="711"/>
    <x v="3"/>
    <x v="4"/>
    <x v="711"/>
    <x v="110"/>
    <x v="1"/>
    <x v="711"/>
    <x v="150"/>
  </r>
  <r>
    <x v="712"/>
    <x v="4"/>
    <x v="2"/>
    <x v="712"/>
    <x v="96"/>
    <x v="0"/>
    <x v="712"/>
    <x v="168"/>
  </r>
  <r>
    <x v="713"/>
    <x v="5"/>
    <x v="0"/>
    <x v="713"/>
    <x v="90"/>
    <x v="0"/>
    <x v="713"/>
    <x v="94"/>
  </r>
  <r>
    <x v="714"/>
    <x v="0"/>
    <x v="3"/>
    <x v="714"/>
    <x v="74"/>
    <x v="0"/>
    <x v="714"/>
    <x v="79"/>
  </r>
  <r>
    <x v="715"/>
    <x v="1"/>
    <x v="2"/>
    <x v="715"/>
    <x v="94"/>
    <x v="1"/>
    <x v="715"/>
    <x v="102"/>
  </r>
  <r>
    <x v="716"/>
    <x v="2"/>
    <x v="2"/>
    <x v="716"/>
    <x v="18"/>
    <x v="0"/>
    <x v="716"/>
    <x v="21"/>
  </r>
  <r>
    <x v="717"/>
    <x v="3"/>
    <x v="2"/>
    <x v="717"/>
    <x v="61"/>
    <x v="0"/>
    <x v="717"/>
    <x v="64"/>
  </r>
  <r>
    <x v="718"/>
    <x v="4"/>
    <x v="2"/>
    <x v="718"/>
    <x v="10"/>
    <x v="1"/>
    <x v="718"/>
    <x v="24"/>
  </r>
  <r>
    <x v="719"/>
    <x v="5"/>
    <x v="1"/>
    <x v="719"/>
    <x v="0"/>
    <x v="1"/>
    <x v="719"/>
    <x v="3"/>
  </r>
  <r>
    <x v="720"/>
    <x v="0"/>
    <x v="1"/>
    <x v="720"/>
    <x v="34"/>
    <x v="0"/>
    <x v="720"/>
    <x v="37"/>
  </r>
  <r>
    <x v="721"/>
    <x v="1"/>
    <x v="2"/>
    <x v="721"/>
    <x v="102"/>
    <x v="0"/>
    <x v="721"/>
    <x v="15"/>
  </r>
  <r>
    <x v="722"/>
    <x v="2"/>
    <x v="4"/>
    <x v="722"/>
    <x v="76"/>
    <x v="1"/>
    <x v="722"/>
    <x v="82"/>
  </r>
  <r>
    <x v="723"/>
    <x v="3"/>
    <x v="1"/>
    <x v="723"/>
    <x v="59"/>
    <x v="1"/>
    <x v="723"/>
    <x v="88"/>
  </r>
  <r>
    <x v="724"/>
    <x v="4"/>
    <x v="2"/>
    <x v="724"/>
    <x v="18"/>
    <x v="1"/>
    <x v="724"/>
    <x v="19"/>
  </r>
  <r>
    <x v="725"/>
    <x v="5"/>
    <x v="1"/>
    <x v="725"/>
    <x v="0"/>
    <x v="1"/>
    <x v="725"/>
    <x v="3"/>
  </r>
  <r>
    <x v="726"/>
    <x v="0"/>
    <x v="3"/>
    <x v="726"/>
    <x v="108"/>
    <x v="0"/>
    <x v="726"/>
    <x v="75"/>
  </r>
  <r>
    <x v="727"/>
    <x v="1"/>
    <x v="3"/>
    <x v="727"/>
    <x v="12"/>
    <x v="1"/>
    <x v="727"/>
    <x v="21"/>
  </r>
  <r>
    <x v="728"/>
    <x v="2"/>
    <x v="3"/>
    <x v="728"/>
    <x v="122"/>
    <x v="0"/>
    <x v="728"/>
    <x v="169"/>
  </r>
  <r>
    <x v="729"/>
    <x v="3"/>
    <x v="3"/>
    <x v="729"/>
    <x v="78"/>
    <x v="1"/>
    <x v="729"/>
    <x v="170"/>
  </r>
  <r>
    <x v="730"/>
    <x v="4"/>
    <x v="1"/>
    <x v="730"/>
    <x v="23"/>
    <x v="0"/>
    <x v="730"/>
    <x v="14"/>
  </r>
  <r>
    <x v="731"/>
    <x v="5"/>
    <x v="0"/>
    <x v="731"/>
    <x v="0"/>
    <x v="0"/>
    <x v="731"/>
    <x v="0"/>
  </r>
  <r>
    <x v="732"/>
    <x v="0"/>
    <x v="0"/>
    <x v="732"/>
    <x v="43"/>
    <x v="0"/>
    <x v="732"/>
    <x v="45"/>
  </r>
  <r>
    <x v="733"/>
    <x v="1"/>
    <x v="4"/>
    <x v="733"/>
    <x v="95"/>
    <x v="0"/>
    <x v="733"/>
    <x v="26"/>
  </r>
  <r>
    <x v="734"/>
    <x v="2"/>
    <x v="0"/>
    <x v="734"/>
    <x v="21"/>
    <x v="0"/>
    <x v="734"/>
    <x v="23"/>
  </r>
  <r>
    <x v="735"/>
    <x v="3"/>
    <x v="0"/>
    <x v="735"/>
    <x v="34"/>
    <x v="1"/>
    <x v="735"/>
    <x v="99"/>
  </r>
  <r>
    <x v="736"/>
    <x v="4"/>
    <x v="2"/>
    <x v="736"/>
    <x v="148"/>
    <x v="0"/>
    <x v="736"/>
    <x v="171"/>
  </r>
  <r>
    <x v="737"/>
    <x v="5"/>
    <x v="2"/>
    <x v="737"/>
    <x v="73"/>
    <x v="1"/>
    <x v="737"/>
    <x v="85"/>
  </r>
  <r>
    <x v="738"/>
    <x v="0"/>
    <x v="2"/>
    <x v="738"/>
    <x v="149"/>
    <x v="1"/>
    <x v="738"/>
    <x v="42"/>
  </r>
  <r>
    <x v="739"/>
    <x v="1"/>
    <x v="2"/>
    <x v="739"/>
    <x v="53"/>
    <x v="1"/>
    <x v="739"/>
    <x v="27"/>
  </r>
  <r>
    <x v="740"/>
    <x v="2"/>
    <x v="2"/>
    <x v="740"/>
    <x v="93"/>
    <x v="0"/>
    <x v="740"/>
    <x v="36"/>
  </r>
  <r>
    <x v="741"/>
    <x v="3"/>
    <x v="3"/>
    <x v="741"/>
    <x v="94"/>
    <x v="0"/>
    <x v="741"/>
    <x v="100"/>
  </r>
  <r>
    <x v="742"/>
    <x v="4"/>
    <x v="4"/>
    <x v="742"/>
    <x v="114"/>
    <x v="1"/>
    <x v="742"/>
    <x v="119"/>
  </r>
  <r>
    <x v="743"/>
    <x v="5"/>
    <x v="0"/>
    <x v="743"/>
    <x v="0"/>
    <x v="0"/>
    <x v="743"/>
    <x v="0"/>
  </r>
  <r>
    <x v="744"/>
    <x v="0"/>
    <x v="0"/>
    <x v="744"/>
    <x v="126"/>
    <x v="1"/>
    <x v="744"/>
    <x v="114"/>
  </r>
  <r>
    <x v="745"/>
    <x v="1"/>
    <x v="4"/>
    <x v="745"/>
    <x v="0"/>
    <x v="0"/>
    <x v="745"/>
    <x v="0"/>
  </r>
  <r>
    <x v="746"/>
    <x v="2"/>
    <x v="1"/>
    <x v="746"/>
    <x v="7"/>
    <x v="0"/>
    <x v="746"/>
    <x v="8"/>
  </r>
  <r>
    <x v="747"/>
    <x v="3"/>
    <x v="1"/>
    <x v="747"/>
    <x v="30"/>
    <x v="1"/>
    <x v="747"/>
    <x v="33"/>
  </r>
  <r>
    <x v="748"/>
    <x v="4"/>
    <x v="0"/>
    <x v="748"/>
    <x v="94"/>
    <x v="1"/>
    <x v="748"/>
    <x v="102"/>
  </r>
  <r>
    <x v="749"/>
    <x v="5"/>
    <x v="0"/>
    <x v="749"/>
    <x v="5"/>
    <x v="0"/>
    <x v="749"/>
    <x v="6"/>
  </r>
  <r>
    <x v="750"/>
    <x v="0"/>
    <x v="4"/>
    <x v="750"/>
    <x v="1"/>
    <x v="1"/>
    <x v="750"/>
    <x v="1"/>
  </r>
  <r>
    <x v="751"/>
    <x v="1"/>
    <x v="0"/>
    <x v="751"/>
    <x v="107"/>
    <x v="1"/>
    <x v="751"/>
    <x v="167"/>
  </r>
  <r>
    <x v="752"/>
    <x v="2"/>
    <x v="3"/>
    <x v="752"/>
    <x v="88"/>
    <x v="0"/>
    <x v="752"/>
    <x v="125"/>
  </r>
  <r>
    <x v="753"/>
    <x v="3"/>
    <x v="1"/>
    <x v="753"/>
    <x v="26"/>
    <x v="0"/>
    <x v="753"/>
    <x v="126"/>
  </r>
  <r>
    <x v="754"/>
    <x v="4"/>
    <x v="2"/>
    <x v="754"/>
    <x v="63"/>
    <x v="1"/>
    <x v="754"/>
    <x v="66"/>
  </r>
  <r>
    <x v="755"/>
    <x v="5"/>
    <x v="4"/>
    <x v="755"/>
    <x v="24"/>
    <x v="1"/>
    <x v="755"/>
    <x v="26"/>
  </r>
  <r>
    <x v="756"/>
    <x v="0"/>
    <x v="3"/>
    <x v="756"/>
    <x v="41"/>
    <x v="1"/>
    <x v="756"/>
    <x v="144"/>
  </r>
  <r>
    <x v="757"/>
    <x v="1"/>
    <x v="0"/>
    <x v="757"/>
    <x v="8"/>
    <x v="1"/>
    <x v="757"/>
    <x v="95"/>
  </r>
  <r>
    <x v="758"/>
    <x v="2"/>
    <x v="3"/>
    <x v="758"/>
    <x v="0"/>
    <x v="1"/>
    <x v="758"/>
    <x v="3"/>
  </r>
  <r>
    <x v="759"/>
    <x v="3"/>
    <x v="1"/>
    <x v="759"/>
    <x v="78"/>
    <x v="0"/>
    <x v="759"/>
    <x v="19"/>
  </r>
  <r>
    <x v="760"/>
    <x v="4"/>
    <x v="2"/>
    <x v="760"/>
    <x v="33"/>
    <x v="0"/>
    <x v="760"/>
    <x v="76"/>
  </r>
  <r>
    <x v="761"/>
    <x v="5"/>
    <x v="1"/>
    <x v="761"/>
    <x v="96"/>
    <x v="1"/>
    <x v="761"/>
    <x v="89"/>
  </r>
  <r>
    <x v="762"/>
    <x v="0"/>
    <x v="1"/>
    <x v="762"/>
    <x v="55"/>
    <x v="0"/>
    <x v="762"/>
    <x v="58"/>
  </r>
  <r>
    <x v="763"/>
    <x v="1"/>
    <x v="0"/>
    <x v="763"/>
    <x v="118"/>
    <x v="0"/>
    <x v="763"/>
    <x v="165"/>
  </r>
  <r>
    <x v="764"/>
    <x v="2"/>
    <x v="3"/>
    <x v="764"/>
    <x v="40"/>
    <x v="1"/>
    <x v="764"/>
    <x v="56"/>
  </r>
  <r>
    <x v="765"/>
    <x v="3"/>
    <x v="1"/>
    <x v="765"/>
    <x v="44"/>
    <x v="1"/>
    <x v="765"/>
    <x v="135"/>
  </r>
  <r>
    <x v="766"/>
    <x v="4"/>
    <x v="0"/>
    <x v="766"/>
    <x v="139"/>
    <x v="1"/>
    <x v="766"/>
    <x v="35"/>
  </r>
  <r>
    <x v="767"/>
    <x v="5"/>
    <x v="3"/>
    <x v="767"/>
    <x v="13"/>
    <x v="0"/>
    <x v="767"/>
    <x v="80"/>
  </r>
  <r>
    <x v="768"/>
    <x v="0"/>
    <x v="0"/>
    <x v="768"/>
    <x v="76"/>
    <x v="0"/>
    <x v="768"/>
    <x v="119"/>
  </r>
  <r>
    <x v="769"/>
    <x v="1"/>
    <x v="1"/>
    <x v="769"/>
    <x v="29"/>
    <x v="0"/>
    <x v="769"/>
    <x v="113"/>
  </r>
  <r>
    <x v="770"/>
    <x v="2"/>
    <x v="3"/>
    <x v="770"/>
    <x v="103"/>
    <x v="0"/>
    <x v="770"/>
    <x v="140"/>
  </r>
  <r>
    <x v="771"/>
    <x v="3"/>
    <x v="2"/>
    <x v="771"/>
    <x v="56"/>
    <x v="0"/>
    <x v="771"/>
    <x v="154"/>
  </r>
  <r>
    <x v="772"/>
    <x v="4"/>
    <x v="3"/>
    <x v="772"/>
    <x v="107"/>
    <x v="0"/>
    <x v="772"/>
    <x v="30"/>
  </r>
  <r>
    <x v="773"/>
    <x v="5"/>
    <x v="3"/>
    <x v="773"/>
    <x v="98"/>
    <x v="0"/>
    <x v="773"/>
    <x v="44"/>
  </r>
  <r>
    <x v="774"/>
    <x v="0"/>
    <x v="1"/>
    <x v="774"/>
    <x v="128"/>
    <x v="0"/>
    <x v="774"/>
    <x v="142"/>
  </r>
  <r>
    <x v="775"/>
    <x v="1"/>
    <x v="0"/>
    <x v="775"/>
    <x v="0"/>
    <x v="0"/>
    <x v="775"/>
    <x v="0"/>
  </r>
  <r>
    <x v="776"/>
    <x v="2"/>
    <x v="0"/>
    <x v="776"/>
    <x v="33"/>
    <x v="0"/>
    <x v="776"/>
    <x v="76"/>
  </r>
  <r>
    <x v="777"/>
    <x v="3"/>
    <x v="1"/>
    <x v="777"/>
    <x v="9"/>
    <x v="0"/>
    <x v="777"/>
    <x v="9"/>
  </r>
  <r>
    <x v="778"/>
    <x v="4"/>
    <x v="4"/>
    <x v="778"/>
    <x v="102"/>
    <x v="0"/>
    <x v="778"/>
    <x v="15"/>
  </r>
  <r>
    <x v="779"/>
    <x v="5"/>
    <x v="4"/>
    <x v="779"/>
    <x v="120"/>
    <x v="1"/>
    <x v="779"/>
    <x v="41"/>
  </r>
  <r>
    <x v="780"/>
    <x v="0"/>
    <x v="1"/>
    <x v="780"/>
    <x v="28"/>
    <x v="0"/>
    <x v="780"/>
    <x v="55"/>
  </r>
  <r>
    <x v="781"/>
    <x v="1"/>
    <x v="2"/>
    <x v="781"/>
    <x v="70"/>
    <x v="0"/>
    <x v="781"/>
    <x v="84"/>
  </r>
  <r>
    <x v="782"/>
    <x v="2"/>
    <x v="0"/>
    <x v="782"/>
    <x v="129"/>
    <x v="1"/>
    <x v="782"/>
    <x v="78"/>
  </r>
  <r>
    <x v="783"/>
    <x v="3"/>
    <x v="3"/>
    <x v="783"/>
    <x v="123"/>
    <x v="0"/>
    <x v="783"/>
    <x v="164"/>
  </r>
  <r>
    <x v="784"/>
    <x v="4"/>
    <x v="0"/>
    <x v="784"/>
    <x v="0"/>
    <x v="1"/>
    <x v="784"/>
    <x v="3"/>
  </r>
  <r>
    <x v="785"/>
    <x v="5"/>
    <x v="2"/>
    <x v="785"/>
    <x v="134"/>
    <x v="0"/>
    <x v="785"/>
    <x v="157"/>
  </r>
  <r>
    <x v="786"/>
    <x v="0"/>
    <x v="3"/>
    <x v="786"/>
    <x v="94"/>
    <x v="1"/>
    <x v="786"/>
    <x v="102"/>
  </r>
  <r>
    <x v="787"/>
    <x v="1"/>
    <x v="0"/>
    <x v="787"/>
    <x v="2"/>
    <x v="1"/>
    <x v="787"/>
    <x v="46"/>
  </r>
  <r>
    <x v="788"/>
    <x v="2"/>
    <x v="2"/>
    <x v="788"/>
    <x v="66"/>
    <x v="0"/>
    <x v="788"/>
    <x v="69"/>
  </r>
  <r>
    <x v="789"/>
    <x v="3"/>
    <x v="2"/>
    <x v="789"/>
    <x v="67"/>
    <x v="0"/>
    <x v="789"/>
    <x v="97"/>
  </r>
  <r>
    <x v="790"/>
    <x v="4"/>
    <x v="3"/>
    <x v="790"/>
    <x v="101"/>
    <x v="0"/>
    <x v="790"/>
    <x v="107"/>
  </r>
  <r>
    <x v="791"/>
    <x v="5"/>
    <x v="1"/>
    <x v="791"/>
    <x v="6"/>
    <x v="0"/>
    <x v="791"/>
    <x v="128"/>
  </r>
  <r>
    <x v="792"/>
    <x v="0"/>
    <x v="0"/>
    <x v="792"/>
    <x v="38"/>
    <x v="0"/>
    <x v="792"/>
    <x v="40"/>
  </r>
  <r>
    <x v="793"/>
    <x v="1"/>
    <x v="2"/>
    <x v="793"/>
    <x v="94"/>
    <x v="0"/>
    <x v="793"/>
    <x v="100"/>
  </r>
  <r>
    <x v="794"/>
    <x v="2"/>
    <x v="2"/>
    <x v="794"/>
    <x v="98"/>
    <x v="0"/>
    <x v="794"/>
    <x v="44"/>
  </r>
  <r>
    <x v="795"/>
    <x v="3"/>
    <x v="3"/>
    <x v="795"/>
    <x v="118"/>
    <x v="0"/>
    <x v="795"/>
    <x v="165"/>
  </r>
  <r>
    <x v="796"/>
    <x v="4"/>
    <x v="1"/>
    <x v="796"/>
    <x v="89"/>
    <x v="0"/>
    <x v="796"/>
    <x v="93"/>
  </r>
  <r>
    <x v="797"/>
    <x v="5"/>
    <x v="3"/>
    <x v="797"/>
    <x v="121"/>
    <x v="0"/>
    <x v="797"/>
    <x v="132"/>
  </r>
  <r>
    <x v="798"/>
    <x v="0"/>
    <x v="1"/>
    <x v="798"/>
    <x v="46"/>
    <x v="0"/>
    <x v="798"/>
    <x v="13"/>
  </r>
  <r>
    <x v="799"/>
    <x v="1"/>
    <x v="3"/>
    <x v="799"/>
    <x v="18"/>
    <x v="0"/>
    <x v="799"/>
    <x v="21"/>
  </r>
  <r>
    <x v="800"/>
    <x v="2"/>
    <x v="1"/>
    <x v="800"/>
    <x v="127"/>
    <x v="0"/>
    <x v="800"/>
    <x v="138"/>
  </r>
  <r>
    <x v="801"/>
    <x v="3"/>
    <x v="1"/>
    <x v="801"/>
    <x v="64"/>
    <x v="0"/>
    <x v="801"/>
    <x v="67"/>
  </r>
  <r>
    <x v="802"/>
    <x v="4"/>
    <x v="1"/>
    <x v="802"/>
    <x v="19"/>
    <x v="0"/>
    <x v="802"/>
    <x v="20"/>
  </r>
  <r>
    <x v="803"/>
    <x v="5"/>
    <x v="1"/>
    <x v="803"/>
    <x v="0"/>
    <x v="1"/>
    <x v="803"/>
    <x v="3"/>
  </r>
  <r>
    <x v="804"/>
    <x v="0"/>
    <x v="2"/>
    <x v="804"/>
    <x v="111"/>
    <x v="1"/>
    <x v="804"/>
    <x v="90"/>
  </r>
  <r>
    <x v="805"/>
    <x v="1"/>
    <x v="2"/>
    <x v="805"/>
    <x v="146"/>
    <x v="1"/>
    <x v="805"/>
    <x v="172"/>
  </r>
  <r>
    <x v="806"/>
    <x v="2"/>
    <x v="0"/>
    <x v="806"/>
    <x v="28"/>
    <x v="0"/>
    <x v="806"/>
    <x v="55"/>
  </r>
  <r>
    <x v="807"/>
    <x v="3"/>
    <x v="4"/>
    <x v="807"/>
    <x v="121"/>
    <x v="1"/>
    <x v="807"/>
    <x v="100"/>
  </r>
  <r>
    <x v="808"/>
    <x v="4"/>
    <x v="0"/>
    <x v="808"/>
    <x v="15"/>
    <x v="1"/>
    <x v="808"/>
    <x v="15"/>
  </r>
  <r>
    <x v="809"/>
    <x v="5"/>
    <x v="4"/>
    <x v="809"/>
    <x v="143"/>
    <x v="1"/>
    <x v="809"/>
    <x v="93"/>
  </r>
  <r>
    <x v="810"/>
    <x v="0"/>
    <x v="2"/>
    <x v="810"/>
    <x v="68"/>
    <x v="0"/>
    <x v="810"/>
    <x v="173"/>
  </r>
  <r>
    <x v="811"/>
    <x v="1"/>
    <x v="3"/>
    <x v="811"/>
    <x v="21"/>
    <x v="1"/>
    <x v="811"/>
    <x v="58"/>
  </r>
  <r>
    <x v="812"/>
    <x v="2"/>
    <x v="0"/>
    <x v="812"/>
    <x v="3"/>
    <x v="1"/>
    <x v="812"/>
    <x v="4"/>
  </r>
  <r>
    <x v="813"/>
    <x v="3"/>
    <x v="2"/>
    <x v="813"/>
    <x v="48"/>
    <x v="1"/>
    <x v="813"/>
    <x v="51"/>
  </r>
  <r>
    <x v="814"/>
    <x v="4"/>
    <x v="0"/>
    <x v="814"/>
    <x v="46"/>
    <x v="1"/>
    <x v="814"/>
    <x v="63"/>
  </r>
  <r>
    <x v="815"/>
    <x v="5"/>
    <x v="2"/>
    <x v="815"/>
    <x v="145"/>
    <x v="1"/>
    <x v="815"/>
    <x v="174"/>
  </r>
  <r>
    <x v="816"/>
    <x v="0"/>
    <x v="3"/>
    <x v="816"/>
    <x v="112"/>
    <x v="1"/>
    <x v="816"/>
    <x v="116"/>
  </r>
  <r>
    <x v="817"/>
    <x v="1"/>
    <x v="4"/>
    <x v="817"/>
    <x v="129"/>
    <x v="1"/>
    <x v="817"/>
    <x v="78"/>
  </r>
  <r>
    <x v="818"/>
    <x v="2"/>
    <x v="0"/>
    <x v="818"/>
    <x v="126"/>
    <x v="0"/>
    <x v="818"/>
    <x v="158"/>
  </r>
  <r>
    <x v="819"/>
    <x v="3"/>
    <x v="2"/>
    <x v="819"/>
    <x v="2"/>
    <x v="0"/>
    <x v="819"/>
    <x v="2"/>
  </r>
  <r>
    <x v="820"/>
    <x v="4"/>
    <x v="3"/>
    <x v="820"/>
    <x v="53"/>
    <x v="0"/>
    <x v="820"/>
    <x v="143"/>
  </r>
  <r>
    <x v="821"/>
    <x v="5"/>
    <x v="0"/>
    <x v="821"/>
    <x v="122"/>
    <x v="1"/>
    <x v="821"/>
    <x v="126"/>
  </r>
  <r>
    <x v="822"/>
    <x v="0"/>
    <x v="0"/>
    <x v="822"/>
    <x v="73"/>
    <x v="0"/>
    <x v="822"/>
    <x v="78"/>
  </r>
  <r>
    <x v="823"/>
    <x v="1"/>
    <x v="3"/>
    <x v="823"/>
    <x v="146"/>
    <x v="0"/>
    <x v="823"/>
    <x v="150"/>
  </r>
  <r>
    <x v="824"/>
    <x v="2"/>
    <x v="1"/>
    <x v="824"/>
    <x v="131"/>
    <x v="0"/>
    <x v="824"/>
    <x v="144"/>
  </r>
  <r>
    <x v="825"/>
    <x v="3"/>
    <x v="3"/>
    <x v="825"/>
    <x v="59"/>
    <x v="1"/>
    <x v="825"/>
    <x v="88"/>
  </r>
  <r>
    <x v="826"/>
    <x v="4"/>
    <x v="0"/>
    <x v="826"/>
    <x v="5"/>
    <x v="1"/>
    <x v="826"/>
    <x v="16"/>
  </r>
  <r>
    <x v="827"/>
    <x v="5"/>
    <x v="3"/>
    <x v="827"/>
    <x v="124"/>
    <x v="0"/>
    <x v="827"/>
    <x v="133"/>
  </r>
  <r>
    <x v="828"/>
    <x v="0"/>
    <x v="0"/>
    <x v="828"/>
    <x v="34"/>
    <x v="0"/>
    <x v="828"/>
    <x v="37"/>
  </r>
  <r>
    <x v="829"/>
    <x v="1"/>
    <x v="3"/>
    <x v="829"/>
    <x v="29"/>
    <x v="0"/>
    <x v="829"/>
    <x v="113"/>
  </r>
  <r>
    <x v="830"/>
    <x v="2"/>
    <x v="0"/>
    <x v="830"/>
    <x v="136"/>
    <x v="1"/>
    <x v="830"/>
    <x v="76"/>
  </r>
  <r>
    <x v="831"/>
    <x v="3"/>
    <x v="0"/>
    <x v="831"/>
    <x v="136"/>
    <x v="1"/>
    <x v="831"/>
    <x v="76"/>
  </r>
  <r>
    <x v="832"/>
    <x v="4"/>
    <x v="0"/>
    <x v="832"/>
    <x v="0"/>
    <x v="1"/>
    <x v="832"/>
    <x v="3"/>
  </r>
  <r>
    <x v="833"/>
    <x v="5"/>
    <x v="2"/>
    <x v="833"/>
    <x v="50"/>
    <x v="0"/>
    <x v="833"/>
    <x v="112"/>
  </r>
  <r>
    <x v="834"/>
    <x v="0"/>
    <x v="3"/>
    <x v="834"/>
    <x v="29"/>
    <x v="1"/>
    <x v="834"/>
    <x v="32"/>
  </r>
  <r>
    <x v="835"/>
    <x v="1"/>
    <x v="0"/>
    <x v="835"/>
    <x v="137"/>
    <x v="1"/>
    <x v="835"/>
    <x v="162"/>
  </r>
  <r>
    <x v="836"/>
    <x v="2"/>
    <x v="2"/>
    <x v="836"/>
    <x v="125"/>
    <x v="0"/>
    <x v="836"/>
    <x v="134"/>
  </r>
  <r>
    <x v="837"/>
    <x v="3"/>
    <x v="0"/>
    <x v="837"/>
    <x v="37"/>
    <x v="0"/>
    <x v="837"/>
    <x v="11"/>
  </r>
  <r>
    <x v="838"/>
    <x v="4"/>
    <x v="1"/>
    <x v="838"/>
    <x v="7"/>
    <x v="0"/>
    <x v="838"/>
    <x v="8"/>
  </r>
  <r>
    <x v="839"/>
    <x v="5"/>
    <x v="1"/>
    <x v="839"/>
    <x v="32"/>
    <x v="1"/>
    <x v="839"/>
    <x v="155"/>
  </r>
  <r>
    <x v="840"/>
    <x v="0"/>
    <x v="0"/>
    <x v="840"/>
    <x v="95"/>
    <x v="1"/>
    <x v="840"/>
    <x v="77"/>
  </r>
  <r>
    <x v="841"/>
    <x v="1"/>
    <x v="3"/>
    <x v="841"/>
    <x v="92"/>
    <x v="1"/>
    <x v="841"/>
    <x v="62"/>
  </r>
  <r>
    <x v="842"/>
    <x v="2"/>
    <x v="2"/>
    <x v="842"/>
    <x v="54"/>
    <x v="0"/>
    <x v="842"/>
    <x v="57"/>
  </r>
  <r>
    <x v="843"/>
    <x v="3"/>
    <x v="2"/>
    <x v="843"/>
    <x v="144"/>
    <x v="0"/>
    <x v="843"/>
    <x v="5"/>
  </r>
  <r>
    <x v="844"/>
    <x v="4"/>
    <x v="1"/>
    <x v="844"/>
    <x v="87"/>
    <x v="0"/>
    <x v="844"/>
    <x v="38"/>
  </r>
  <r>
    <x v="845"/>
    <x v="5"/>
    <x v="3"/>
    <x v="845"/>
    <x v="61"/>
    <x v="1"/>
    <x v="845"/>
    <x v="98"/>
  </r>
  <r>
    <x v="846"/>
    <x v="0"/>
    <x v="0"/>
    <x v="846"/>
    <x v="85"/>
    <x v="1"/>
    <x v="846"/>
    <x v="6"/>
  </r>
  <r>
    <x v="847"/>
    <x v="1"/>
    <x v="3"/>
    <x v="847"/>
    <x v="122"/>
    <x v="1"/>
    <x v="847"/>
    <x v="126"/>
  </r>
  <r>
    <x v="848"/>
    <x v="2"/>
    <x v="3"/>
    <x v="848"/>
    <x v="31"/>
    <x v="0"/>
    <x v="848"/>
    <x v="50"/>
  </r>
  <r>
    <x v="849"/>
    <x v="3"/>
    <x v="0"/>
    <x v="849"/>
    <x v="34"/>
    <x v="1"/>
    <x v="849"/>
    <x v="99"/>
  </r>
  <r>
    <x v="850"/>
    <x v="4"/>
    <x v="3"/>
    <x v="850"/>
    <x v="72"/>
    <x v="0"/>
    <x v="850"/>
    <x v="77"/>
  </r>
  <r>
    <x v="851"/>
    <x v="5"/>
    <x v="3"/>
    <x v="851"/>
    <x v="28"/>
    <x v="1"/>
    <x v="851"/>
    <x v="31"/>
  </r>
  <r>
    <x v="852"/>
    <x v="0"/>
    <x v="3"/>
    <x v="852"/>
    <x v="10"/>
    <x v="0"/>
    <x v="852"/>
    <x v="10"/>
  </r>
  <r>
    <x v="853"/>
    <x v="1"/>
    <x v="0"/>
    <x v="853"/>
    <x v="150"/>
    <x v="1"/>
    <x v="853"/>
    <x v="87"/>
  </r>
  <r>
    <x v="854"/>
    <x v="2"/>
    <x v="4"/>
    <x v="854"/>
    <x v="9"/>
    <x v="1"/>
    <x v="854"/>
    <x v="141"/>
  </r>
  <r>
    <x v="855"/>
    <x v="3"/>
    <x v="1"/>
    <x v="855"/>
    <x v="9"/>
    <x v="1"/>
    <x v="855"/>
    <x v="141"/>
  </r>
  <r>
    <x v="856"/>
    <x v="4"/>
    <x v="2"/>
    <x v="856"/>
    <x v="136"/>
    <x v="1"/>
    <x v="856"/>
    <x v="76"/>
  </r>
  <r>
    <x v="857"/>
    <x v="5"/>
    <x v="4"/>
    <x v="857"/>
    <x v="146"/>
    <x v="0"/>
    <x v="857"/>
    <x v="150"/>
  </r>
  <r>
    <x v="858"/>
    <x v="0"/>
    <x v="0"/>
    <x v="858"/>
    <x v="74"/>
    <x v="1"/>
    <x v="858"/>
    <x v="151"/>
  </r>
  <r>
    <x v="859"/>
    <x v="1"/>
    <x v="1"/>
    <x v="859"/>
    <x v="150"/>
    <x v="0"/>
    <x v="859"/>
    <x v="98"/>
  </r>
  <r>
    <x v="860"/>
    <x v="2"/>
    <x v="1"/>
    <x v="860"/>
    <x v="149"/>
    <x v="1"/>
    <x v="860"/>
    <x v="42"/>
  </r>
  <r>
    <x v="861"/>
    <x v="3"/>
    <x v="0"/>
    <x v="861"/>
    <x v="80"/>
    <x v="0"/>
    <x v="861"/>
    <x v="85"/>
  </r>
  <r>
    <x v="862"/>
    <x v="4"/>
    <x v="1"/>
    <x v="862"/>
    <x v="124"/>
    <x v="0"/>
    <x v="862"/>
    <x v="133"/>
  </r>
  <r>
    <x v="863"/>
    <x v="5"/>
    <x v="2"/>
    <x v="863"/>
    <x v="26"/>
    <x v="0"/>
    <x v="863"/>
    <x v="126"/>
  </r>
  <r>
    <x v="864"/>
    <x v="0"/>
    <x v="1"/>
    <x v="864"/>
    <x v="83"/>
    <x v="1"/>
    <x v="864"/>
    <x v="136"/>
  </r>
  <r>
    <x v="865"/>
    <x v="1"/>
    <x v="3"/>
    <x v="865"/>
    <x v="56"/>
    <x v="1"/>
    <x v="865"/>
    <x v="0"/>
  </r>
  <r>
    <x v="866"/>
    <x v="2"/>
    <x v="1"/>
    <x v="866"/>
    <x v="93"/>
    <x v="1"/>
    <x v="866"/>
    <x v="125"/>
  </r>
  <r>
    <x v="867"/>
    <x v="3"/>
    <x v="1"/>
    <x v="867"/>
    <x v="19"/>
    <x v="1"/>
    <x v="867"/>
    <x v="120"/>
  </r>
  <r>
    <x v="868"/>
    <x v="4"/>
    <x v="1"/>
    <x v="868"/>
    <x v="62"/>
    <x v="1"/>
    <x v="868"/>
    <x v="113"/>
  </r>
  <r>
    <x v="869"/>
    <x v="5"/>
    <x v="2"/>
    <x v="869"/>
    <x v="131"/>
    <x v="0"/>
    <x v="869"/>
    <x v="144"/>
  </r>
  <r>
    <x v="870"/>
    <x v="0"/>
    <x v="1"/>
    <x v="870"/>
    <x v="30"/>
    <x v="1"/>
    <x v="870"/>
    <x v="33"/>
  </r>
  <r>
    <x v="871"/>
    <x v="1"/>
    <x v="3"/>
    <x v="871"/>
    <x v="60"/>
    <x v="1"/>
    <x v="871"/>
    <x v="118"/>
  </r>
  <r>
    <x v="872"/>
    <x v="2"/>
    <x v="0"/>
    <x v="872"/>
    <x v="81"/>
    <x v="0"/>
    <x v="872"/>
    <x v="86"/>
  </r>
  <r>
    <x v="873"/>
    <x v="3"/>
    <x v="1"/>
    <x v="873"/>
    <x v="82"/>
    <x v="1"/>
    <x v="873"/>
    <x v="115"/>
  </r>
  <r>
    <x v="874"/>
    <x v="4"/>
    <x v="0"/>
    <x v="874"/>
    <x v="90"/>
    <x v="1"/>
    <x v="874"/>
    <x v="147"/>
  </r>
  <r>
    <x v="875"/>
    <x v="5"/>
    <x v="3"/>
    <x v="875"/>
    <x v="81"/>
    <x v="1"/>
    <x v="875"/>
    <x v="12"/>
  </r>
  <r>
    <x v="876"/>
    <x v="0"/>
    <x v="2"/>
    <x v="876"/>
    <x v="26"/>
    <x v="1"/>
    <x v="876"/>
    <x v="29"/>
  </r>
  <r>
    <x v="877"/>
    <x v="1"/>
    <x v="4"/>
    <x v="877"/>
    <x v="24"/>
    <x v="1"/>
    <x v="877"/>
    <x v="26"/>
  </r>
  <r>
    <x v="878"/>
    <x v="2"/>
    <x v="1"/>
    <x v="878"/>
    <x v="120"/>
    <x v="0"/>
    <x v="878"/>
    <x v="130"/>
  </r>
  <r>
    <x v="879"/>
    <x v="3"/>
    <x v="2"/>
    <x v="879"/>
    <x v="62"/>
    <x v="0"/>
    <x v="879"/>
    <x v="65"/>
  </r>
  <r>
    <x v="880"/>
    <x v="4"/>
    <x v="1"/>
    <x v="880"/>
    <x v="3"/>
    <x v="1"/>
    <x v="880"/>
    <x v="4"/>
  </r>
  <r>
    <x v="881"/>
    <x v="5"/>
    <x v="2"/>
    <x v="881"/>
    <x v="76"/>
    <x v="1"/>
    <x v="881"/>
    <x v="82"/>
  </r>
  <r>
    <x v="882"/>
    <x v="0"/>
    <x v="3"/>
    <x v="882"/>
    <x v="122"/>
    <x v="1"/>
    <x v="882"/>
    <x v="126"/>
  </r>
  <r>
    <x v="883"/>
    <x v="1"/>
    <x v="2"/>
    <x v="883"/>
    <x v="51"/>
    <x v="0"/>
    <x v="883"/>
    <x v="22"/>
  </r>
  <r>
    <x v="884"/>
    <x v="2"/>
    <x v="3"/>
    <x v="884"/>
    <x v="0"/>
    <x v="1"/>
    <x v="884"/>
    <x v="3"/>
  </r>
  <r>
    <x v="885"/>
    <x v="3"/>
    <x v="1"/>
    <x v="885"/>
    <x v="123"/>
    <x v="1"/>
    <x v="885"/>
    <x v="64"/>
  </r>
  <r>
    <x v="886"/>
    <x v="4"/>
    <x v="3"/>
    <x v="886"/>
    <x v="132"/>
    <x v="1"/>
    <x v="886"/>
    <x v="145"/>
  </r>
  <r>
    <x v="887"/>
    <x v="5"/>
    <x v="3"/>
    <x v="887"/>
    <x v="112"/>
    <x v="0"/>
    <x v="887"/>
    <x v="129"/>
  </r>
  <r>
    <x v="888"/>
    <x v="0"/>
    <x v="2"/>
    <x v="888"/>
    <x v="68"/>
    <x v="0"/>
    <x v="888"/>
    <x v="173"/>
  </r>
  <r>
    <x v="889"/>
    <x v="1"/>
    <x v="3"/>
    <x v="889"/>
    <x v="103"/>
    <x v="0"/>
    <x v="889"/>
    <x v="140"/>
  </r>
  <r>
    <x v="890"/>
    <x v="2"/>
    <x v="1"/>
    <x v="890"/>
    <x v="23"/>
    <x v="1"/>
    <x v="890"/>
    <x v="25"/>
  </r>
  <r>
    <x v="891"/>
    <x v="3"/>
    <x v="3"/>
    <x v="891"/>
    <x v="40"/>
    <x v="1"/>
    <x v="891"/>
    <x v="56"/>
  </r>
  <r>
    <x v="892"/>
    <x v="4"/>
    <x v="3"/>
    <x v="892"/>
    <x v="34"/>
    <x v="0"/>
    <x v="892"/>
    <x v="37"/>
  </r>
  <r>
    <x v="893"/>
    <x v="5"/>
    <x v="4"/>
    <x v="893"/>
    <x v="10"/>
    <x v="0"/>
    <x v="893"/>
    <x v="10"/>
  </r>
  <r>
    <x v="894"/>
    <x v="0"/>
    <x v="0"/>
    <x v="894"/>
    <x v="118"/>
    <x v="1"/>
    <x v="894"/>
    <x v="129"/>
  </r>
  <r>
    <x v="895"/>
    <x v="1"/>
    <x v="2"/>
    <x v="895"/>
    <x v="112"/>
    <x v="0"/>
    <x v="895"/>
    <x v="129"/>
  </r>
  <r>
    <x v="896"/>
    <x v="2"/>
    <x v="0"/>
    <x v="896"/>
    <x v="9"/>
    <x v="1"/>
    <x v="896"/>
    <x v="141"/>
  </r>
  <r>
    <x v="897"/>
    <x v="3"/>
    <x v="2"/>
    <x v="897"/>
    <x v="12"/>
    <x v="1"/>
    <x v="897"/>
    <x v="21"/>
  </r>
  <r>
    <x v="898"/>
    <x v="4"/>
    <x v="0"/>
    <x v="898"/>
    <x v="147"/>
    <x v="1"/>
    <x v="898"/>
    <x v="143"/>
  </r>
  <r>
    <x v="899"/>
    <x v="5"/>
    <x v="3"/>
    <x v="899"/>
    <x v="17"/>
    <x v="1"/>
    <x v="899"/>
    <x v="50"/>
  </r>
  <r>
    <x v="900"/>
    <x v="0"/>
    <x v="1"/>
    <x v="900"/>
    <x v="17"/>
    <x v="0"/>
    <x v="900"/>
    <x v="18"/>
  </r>
  <r>
    <x v="901"/>
    <x v="1"/>
    <x v="2"/>
    <x v="901"/>
    <x v="149"/>
    <x v="0"/>
    <x v="901"/>
    <x v="145"/>
  </r>
  <r>
    <x v="902"/>
    <x v="2"/>
    <x v="0"/>
    <x v="902"/>
    <x v="68"/>
    <x v="0"/>
    <x v="902"/>
    <x v="173"/>
  </r>
  <r>
    <x v="903"/>
    <x v="3"/>
    <x v="2"/>
    <x v="903"/>
    <x v="42"/>
    <x v="1"/>
    <x v="903"/>
    <x v="44"/>
  </r>
  <r>
    <x v="904"/>
    <x v="4"/>
    <x v="0"/>
    <x v="904"/>
    <x v="0"/>
    <x v="0"/>
    <x v="904"/>
    <x v="0"/>
  </r>
  <r>
    <x v="905"/>
    <x v="5"/>
    <x v="1"/>
    <x v="905"/>
    <x v="97"/>
    <x v="0"/>
    <x v="905"/>
    <x v="103"/>
  </r>
  <r>
    <x v="906"/>
    <x v="0"/>
    <x v="2"/>
    <x v="906"/>
    <x v="59"/>
    <x v="1"/>
    <x v="906"/>
    <x v="88"/>
  </r>
  <r>
    <x v="907"/>
    <x v="1"/>
    <x v="1"/>
    <x v="907"/>
    <x v="37"/>
    <x v="0"/>
    <x v="907"/>
    <x v="11"/>
  </r>
  <r>
    <x v="908"/>
    <x v="2"/>
    <x v="1"/>
    <x v="908"/>
    <x v="55"/>
    <x v="0"/>
    <x v="908"/>
    <x v="58"/>
  </r>
  <r>
    <x v="909"/>
    <x v="3"/>
    <x v="1"/>
    <x v="909"/>
    <x v="143"/>
    <x v="0"/>
    <x v="909"/>
    <x v="106"/>
  </r>
  <r>
    <x v="910"/>
    <x v="4"/>
    <x v="4"/>
    <x v="910"/>
    <x v="70"/>
    <x v="0"/>
    <x v="910"/>
    <x v="84"/>
  </r>
  <r>
    <x v="911"/>
    <x v="5"/>
    <x v="3"/>
    <x v="911"/>
    <x v="0"/>
    <x v="1"/>
    <x v="911"/>
    <x v="3"/>
  </r>
  <r>
    <x v="912"/>
    <x v="0"/>
    <x v="1"/>
    <x v="912"/>
    <x v="16"/>
    <x v="0"/>
    <x v="912"/>
    <x v="17"/>
  </r>
  <r>
    <x v="913"/>
    <x v="1"/>
    <x v="0"/>
    <x v="913"/>
    <x v="0"/>
    <x v="1"/>
    <x v="913"/>
    <x v="3"/>
  </r>
  <r>
    <x v="914"/>
    <x v="2"/>
    <x v="3"/>
    <x v="914"/>
    <x v="105"/>
    <x v="0"/>
    <x v="914"/>
    <x v="136"/>
  </r>
  <r>
    <x v="915"/>
    <x v="3"/>
    <x v="0"/>
    <x v="915"/>
    <x v="43"/>
    <x v="1"/>
    <x v="915"/>
    <x v="86"/>
  </r>
  <r>
    <x v="916"/>
    <x v="4"/>
    <x v="2"/>
    <x v="916"/>
    <x v="145"/>
    <x v="0"/>
    <x v="916"/>
    <x v="102"/>
  </r>
  <r>
    <x v="917"/>
    <x v="5"/>
    <x v="1"/>
    <x v="917"/>
    <x v="99"/>
    <x v="0"/>
    <x v="917"/>
    <x v="28"/>
  </r>
  <r>
    <x v="918"/>
    <x v="0"/>
    <x v="0"/>
    <x v="918"/>
    <x v="2"/>
    <x v="1"/>
    <x v="918"/>
    <x v="46"/>
  </r>
  <r>
    <x v="919"/>
    <x v="1"/>
    <x v="1"/>
    <x v="919"/>
    <x v="116"/>
    <x v="1"/>
    <x v="919"/>
    <x v="160"/>
  </r>
  <r>
    <x v="920"/>
    <x v="2"/>
    <x v="0"/>
    <x v="920"/>
    <x v="88"/>
    <x v="0"/>
    <x v="920"/>
    <x v="125"/>
  </r>
  <r>
    <x v="921"/>
    <x v="3"/>
    <x v="3"/>
    <x v="921"/>
    <x v="86"/>
    <x v="0"/>
    <x v="921"/>
    <x v="52"/>
  </r>
  <r>
    <x v="922"/>
    <x v="4"/>
    <x v="0"/>
    <x v="922"/>
    <x v="55"/>
    <x v="1"/>
    <x v="922"/>
    <x v="105"/>
  </r>
  <r>
    <x v="923"/>
    <x v="5"/>
    <x v="2"/>
    <x v="923"/>
    <x v="0"/>
    <x v="1"/>
    <x v="923"/>
    <x v="3"/>
  </r>
  <r>
    <x v="924"/>
    <x v="0"/>
    <x v="1"/>
    <x v="924"/>
    <x v="6"/>
    <x v="1"/>
    <x v="924"/>
    <x v="7"/>
  </r>
  <r>
    <x v="925"/>
    <x v="1"/>
    <x v="2"/>
    <x v="925"/>
    <x v="84"/>
    <x v="1"/>
    <x v="925"/>
    <x v="156"/>
  </r>
  <r>
    <x v="926"/>
    <x v="2"/>
    <x v="3"/>
    <x v="926"/>
    <x v="10"/>
    <x v="1"/>
    <x v="926"/>
    <x v="24"/>
  </r>
  <r>
    <x v="927"/>
    <x v="3"/>
    <x v="0"/>
    <x v="927"/>
    <x v="32"/>
    <x v="0"/>
    <x v="927"/>
    <x v="35"/>
  </r>
  <r>
    <x v="928"/>
    <x v="4"/>
    <x v="3"/>
    <x v="928"/>
    <x v="149"/>
    <x v="0"/>
    <x v="928"/>
    <x v="145"/>
  </r>
  <r>
    <x v="929"/>
    <x v="5"/>
    <x v="1"/>
    <x v="929"/>
    <x v="0"/>
    <x v="0"/>
    <x v="929"/>
    <x v="0"/>
  </r>
  <r>
    <x v="930"/>
    <x v="0"/>
    <x v="0"/>
    <x v="930"/>
    <x v="115"/>
    <x v="1"/>
    <x v="930"/>
    <x v="59"/>
  </r>
  <r>
    <x v="931"/>
    <x v="1"/>
    <x v="3"/>
    <x v="931"/>
    <x v="0"/>
    <x v="1"/>
    <x v="931"/>
    <x v="3"/>
  </r>
  <r>
    <x v="932"/>
    <x v="2"/>
    <x v="2"/>
    <x v="932"/>
    <x v="0"/>
    <x v="1"/>
    <x v="932"/>
    <x v="3"/>
  </r>
  <r>
    <x v="933"/>
    <x v="3"/>
    <x v="3"/>
    <x v="933"/>
    <x v="45"/>
    <x v="1"/>
    <x v="933"/>
    <x v="47"/>
  </r>
  <r>
    <x v="934"/>
    <x v="4"/>
    <x v="2"/>
    <x v="934"/>
    <x v="114"/>
    <x v="0"/>
    <x v="934"/>
    <x v="131"/>
  </r>
  <r>
    <x v="935"/>
    <x v="5"/>
    <x v="0"/>
    <x v="935"/>
    <x v="80"/>
    <x v="1"/>
    <x v="935"/>
    <x v="132"/>
  </r>
  <r>
    <x v="936"/>
    <x v="0"/>
    <x v="3"/>
    <x v="936"/>
    <x v="113"/>
    <x v="0"/>
    <x v="936"/>
    <x v="123"/>
  </r>
  <r>
    <x v="937"/>
    <x v="1"/>
    <x v="3"/>
    <x v="937"/>
    <x v="22"/>
    <x v="1"/>
    <x v="937"/>
    <x v="153"/>
  </r>
  <r>
    <x v="938"/>
    <x v="2"/>
    <x v="3"/>
    <x v="938"/>
    <x v="25"/>
    <x v="1"/>
    <x v="938"/>
    <x v="101"/>
  </r>
  <r>
    <x v="939"/>
    <x v="3"/>
    <x v="0"/>
    <x v="939"/>
    <x v="17"/>
    <x v="0"/>
    <x v="939"/>
    <x v="18"/>
  </r>
  <r>
    <x v="940"/>
    <x v="4"/>
    <x v="0"/>
    <x v="940"/>
    <x v="51"/>
    <x v="1"/>
    <x v="940"/>
    <x v="37"/>
  </r>
  <r>
    <x v="941"/>
    <x v="5"/>
    <x v="0"/>
    <x v="941"/>
    <x v="15"/>
    <x v="0"/>
    <x v="941"/>
    <x v="82"/>
  </r>
  <r>
    <x v="942"/>
    <x v="0"/>
    <x v="2"/>
    <x v="942"/>
    <x v="5"/>
    <x v="0"/>
    <x v="942"/>
    <x v="6"/>
  </r>
  <r>
    <x v="943"/>
    <x v="1"/>
    <x v="3"/>
    <x v="943"/>
    <x v="37"/>
    <x v="1"/>
    <x v="943"/>
    <x v="10"/>
  </r>
  <r>
    <x v="944"/>
    <x v="2"/>
    <x v="2"/>
    <x v="944"/>
    <x v="89"/>
    <x v="1"/>
    <x v="944"/>
    <x v="23"/>
  </r>
  <r>
    <x v="945"/>
    <x v="3"/>
    <x v="1"/>
    <x v="945"/>
    <x v="80"/>
    <x v="0"/>
    <x v="945"/>
    <x v="85"/>
  </r>
  <r>
    <x v="946"/>
    <x v="4"/>
    <x v="1"/>
    <x v="946"/>
    <x v="88"/>
    <x v="1"/>
    <x v="946"/>
    <x v="92"/>
  </r>
  <r>
    <x v="947"/>
    <x v="5"/>
    <x v="1"/>
    <x v="947"/>
    <x v="4"/>
    <x v="0"/>
    <x v="947"/>
    <x v="39"/>
  </r>
  <r>
    <x v="948"/>
    <x v="0"/>
    <x v="1"/>
    <x v="948"/>
    <x v="128"/>
    <x v="1"/>
    <x v="948"/>
    <x v="122"/>
  </r>
  <r>
    <x v="949"/>
    <x v="1"/>
    <x v="2"/>
    <x v="949"/>
    <x v="117"/>
    <x v="1"/>
    <x v="949"/>
    <x v="137"/>
  </r>
  <r>
    <x v="950"/>
    <x v="2"/>
    <x v="2"/>
    <x v="950"/>
    <x v="67"/>
    <x v="0"/>
    <x v="950"/>
    <x v="97"/>
  </r>
  <r>
    <x v="951"/>
    <x v="3"/>
    <x v="2"/>
    <x v="951"/>
    <x v="0"/>
    <x v="0"/>
    <x v="951"/>
    <x v="0"/>
  </r>
  <r>
    <x v="952"/>
    <x v="4"/>
    <x v="3"/>
    <x v="952"/>
    <x v="126"/>
    <x v="1"/>
    <x v="952"/>
    <x v="114"/>
  </r>
  <r>
    <x v="953"/>
    <x v="5"/>
    <x v="1"/>
    <x v="953"/>
    <x v="2"/>
    <x v="0"/>
    <x v="953"/>
    <x v="2"/>
  </r>
  <r>
    <x v="954"/>
    <x v="0"/>
    <x v="0"/>
    <x v="954"/>
    <x v="0"/>
    <x v="0"/>
    <x v="954"/>
    <x v="0"/>
  </r>
  <r>
    <x v="955"/>
    <x v="1"/>
    <x v="1"/>
    <x v="955"/>
    <x v="6"/>
    <x v="1"/>
    <x v="955"/>
    <x v="7"/>
  </r>
  <r>
    <x v="956"/>
    <x v="2"/>
    <x v="0"/>
    <x v="956"/>
    <x v="149"/>
    <x v="1"/>
    <x v="956"/>
    <x v="42"/>
  </r>
  <r>
    <x v="957"/>
    <x v="3"/>
    <x v="0"/>
    <x v="957"/>
    <x v="127"/>
    <x v="0"/>
    <x v="957"/>
    <x v="138"/>
  </r>
  <r>
    <x v="958"/>
    <x v="4"/>
    <x v="0"/>
    <x v="958"/>
    <x v="3"/>
    <x v="0"/>
    <x v="958"/>
    <x v="156"/>
  </r>
  <r>
    <x v="959"/>
    <x v="5"/>
    <x v="3"/>
    <x v="959"/>
    <x v="55"/>
    <x v="1"/>
    <x v="959"/>
    <x v="105"/>
  </r>
  <r>
    <x v="960"/>
    <x v="0"/>
    <x v="0"/>
    <x v="960"/>
    <x v="62"/>
    <x v="1"/>
    <x v="960"/>
    <x v="113"/>
  </r>
  <r>
    <x v="961"/>
    <x v="1"/>
    <x v="2"/>
    <x v="961"/>
    <x v="133"/>
    <x v="0"/>
    <x v="961"/>
    <x v="72"/>
  </r>
  <r>
    <x v="962"/>
    <x v="2"/>
    <x v="2"/>
    <x v="962"/>
    <x v="91"/>
    <x v="1"/>
    <x v="962"/>
    <x v="69"/>
  </r>
  <r>
    <x v="963"/>
    <x v="3"/>
    <x v="3"/>
    <x v="963"/>
    <x v="112"/>
    <x v="1"/>
    <x v="963"/>
    <x v="116"/>
  </r>
  <r>
    <x v="964"/>
    <x v="4"/>
    <x v="1"/>
    <x v="964"/>
    <x v="58"/>
    <x v="0"/>
    <x v="964"/>
    <x v="59"/>
  </r>
  <r>
    <x v="965"/>
    <x v="5"/>
    <x v="2"/>
    <x v="965"/>
    <x v="94"/>
    <x v="1"/>
    <x v="965"/>
    <x v="102"/>
  </r>
  <r>
    <x v="966"/>
    <x v="0"/>
    <x v="1"/>
    <x v="966"/>
    <x v="141"/>
    <x v="0"/>
    <x v="966"/>
    <x v="175"/>
  </r>
  <r>
    <x v="967"/>
    <x v="1"/>
    <x v="1"/>
    <x v="967"/>
    <x v="12"/>
    <x v="1"/>
    <x v="967"/>
    <x v="21"/>
  </r>
  <r>
    <x v="968"/>
    <x v="2"/>
    <x v="0"/>
    <x v="968"/>
    <x v="23"/>
    <x v="1"/>
    <x v="968"/>
    <x v="25"/>
  </r>
  <r>
    <x v="969"/>
    <x v="3"/>
    <x v="1"/>
    <x v="969"/>
    <x v="129"/>
    <x v="1"/>
    <x v="969"/>
    <x v="78"/>
  </r>
  <r>
    <x v="970"/>
    <x v="4"/>
    <x v="0"/>
    <x v="970"/>
    <x v="8"/>
    <x v="0"/>
    <x v="970"/>
    <x v="1"/>
  </r>
  <r>
    <x v="971"/>
    <x v="5"/>
    <x v="1"/>
    <x v="971"/>
    <x v="17"/>
    <x v="1"/>
    <x v="971"/>
    <x v="50"/>
  </r>
  <r>
    <x v="972"/>
    <x v="0"/>
    <x v="3"/>
    <x v="972"/>
    <x v="4"/>
    <x v="0"/>
    <x v="972"/>
    <x v="39"/>
  </r>
  <r>
    <x v="973"/>
    <x v="1"/>
    <x v="2"/>
    <x v="973"/>
    <x v="99"/>
    <x v="0"/>
    <x v="973"/>
    <x v="28"/>
  </r>
  <r>
    <x v="974"/>
    <x v="2"/>
    <x v="1"/>
    <x v="974"/>
    <x v="0"/>
    <x v="1"/>
    <x v="974"/>
    <x v="3"/>
  </r>
  <r>
    <x v="975"/>
    <x v="3"/>
    <x v="3"/>
    <x v="975"/>
    <x v="0"/>
    <x v="1"/>
    <x v="975"/>
    <x v="3"/>
  </r>
  <r>
    <x v="976"/>
    <x v="4"/>
    <x v="0"/>
    <x v="976"/>
    <x v="123"/>
    <x v="1"/>
    <x v="976"/>
    <x v="64"/>
  </r>
  <r>
    <x v="977"/>
    <x v="5"/>
    <x v="0"/>
    <x v="977"/>
    <x v="10"/>
    <x v="0"/>
    <x v="977"/>
    <x v="10"/>
  </r>
  <r>
    <x v="978"/>
    <x v="0"/>
    <x v="4"/>
    <x v="978"/>
    <x v="127"/>
    <x v="0"/>
    <x v="978"/>
    <x v="138"/>
  </r>
  <r>
    <x v="979"/>
    <x v="1"/>
    <x v="0"/>
    <x v="979"/>
    <x v="135"/>
    <x v="0"/>
    <x v="979"/>
    <x v="155"/>
  </r>
  <r>
    <x v="980"/>
    <x v="2"/>
    <x v="2"/>
    <x v="980"/>
    <x v="116"/>
    <x v="0"/>
    <x v="980"/>
    <x v="122"/>
  </r>
  <r>
    <x v="981"/>
    <x v="3"/>
    <x v="3"/>
    <x v="981"/>
    <x v="0"/>
    <x v="1"/>
    <x v="981"/>
    <x v="3"/>
  </r>
  <r>
    <x v="982"/>
    <x v="4"/>
    <x v="3"/>
    <x v="982"/>
    <x v="100"/>
    <x v="1"/>
    <x v="982"/>
    <x v="106"/>
  </r>
  <r>
    <x v="983"/>
    <x v="5"/>
    <x v="1"/>
    <x v="983"/>
    <x v="150"/>
    <x v="1"/>
    <x v="983"/>
    <x v="87"/>
  </r>
  <r>
    <x v="984"/>
    <x v="0"/>
    <x v="3"/>
    <x v="984"/>
    <x v="139"/>
    <x v="0"/>
    <x v="984"/>
    <x v="117"/>
  </r>
  <r>
    <x v="985"/>
    <x v="1"/>
    <x v="0"/>
    <x v="985"/>
    <x v="124"/>
    <x v="1"/>
    <x v="985"/>
    <x v="130"/>
  </r>
  <r>
    <x v="986"/>
    <x v="2"/>
    <x v="3"/>
    <x v="986"/>
    <x v="59"/>
    <x v="0"/>
    <x v="986"/>
    <x v="60"/>
  </r>
  <r>
    <x v="987"/>
    <x v="3"/>
    <x v="2"/>
    <x v="987"/>
    <x v="55"/>
    <x v="0"/>
    <x v="987"/>
    <x v="58"/>
  </r>
  <r>
    <x v="988"/>
    <x v="4"/>
    <x v="0"/>
    <x v="988"/>
    <x v="145"/>
    <x v="1"/>
    <x v="988"/>
    <x v="174"/>
  </r>
  <r>
    <x v="989"/>
    <x v="5"/>
    <x v="2"/>
    <x v="989"/>
    <x v="14"/>
    <x v="0"/>
    <x v="989"/>
    <x v="163"/>
  </r>
  <r>
    <x v="990"/>
    <x v="0"/>
    <x v="4"/>
    <x v="990"/>
    <x v="38"/>
    <x v="1"/>
    <x v="990"/>
    <x v="39"/>
  </r>
  <r>
    <x v="991"/>
    <x v="1"/>
    <x v="1"/>
    <x v="991"/>
    <x v="96"/>
    <x v="1"/>
    <x v="991"/>
    <x v="89"/>
  </r>
  <r>
    <x v="992"/>
    <x v="2"/>
    <x v="0"/>
    <x v="992"/>
    <x v="14"/>
    <x v="0"/>
    <x v="992"/>
    <x v="163"/>
  </r>
  <r>
    <x v="993"/>
    <x v="3"/>
    <x v="1"/>
    <x v="993"/>
    <x v="111"/>
    <x v="1"/>
    <x v="993"/>
    <x v="90"/>
  </r>
  <r>
    <x v="994"/>
    <x v="4"/>
    <x v="2"/>
    <x v="994"/>
    <x v="110"/>
    <x v="0"/>
    <x v="994"/>
    <x v="114"/>
  </r>
  <r>
    <x v="995"/>
    <x v="5"/>
    <x v="1"/>
    <x v="995"/>
    <x v="31"/>
    <x v="1"/>
    <x v="995"/>
    <x v="34"/>
  </r>
  <r>
    <x v="996"/>
    <x v="0"/>
    <x v="2"/>
    <x v="996"/>
    <x v="144"/>
    <x v="1"/>
    <x v="996"/>
    <x v="154"/>
  </r>
  <r>
    <x v="997"/>
    <x v="1"/>
    <x v="1"/>
    <x v="997"/>
    <x v="17"/>
    <x v="1"/>
    <x v="997"/>
    <x v="50"/>
  </r>
  <r>
    <x v="998"/>
    <x v="2"/>
    <x v="1"/>
    <x v="998"/>
    <x v="44"/>
    <x v="0"/>
    <x v="998"/>
    <x v="46"/>
  </r>
  <r>
    <x v="999"/>
    <x v="3"/>
    <x v="1"/>
    <x v="999"/>
    <x v="125"/>
    <x v="1"/>
    <x v="999"/>
    <x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0" firstDataRow="1" firstDataCol="1"/>
  <pivotFields count="9">
    <pivotField compact="0" showAll="0"/>
    <pivotField compact="0" showAll="0"/>
    <pivotField axis="axisRow" compact="0" showAll="0">
      <items count="6">
        <item x="0"/>
        <item x="4"/>
        <item x="3"/>
        <item x="2"/>
        <item x="1"/>
        <item t="default"/>
      </items>
    </pivotField>
    <pivotField dataField="1" compact="0" numFmtId="178" showAll="0"/>
    <pivotField compact="0" showAll="0"/>
    <pivotField compact="0" showAll="0"/>
    <pivotField dataField="1" compact="0" numFmtId="178" showAll="0"/>
    <pivotField compact="0" showAll="0"/>
    <pivotField dataField="1" dragToCol="0" dragToPage="0" dragToRow="0" compact="0" numFmtId="178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ed_Budget($)" fld="3" baseField="0" baseItem="0"/>
    <dataField name="Sum of Actual_Spend" fld="6" baseField="0" baseItem="0"/>
    <dataField name="Sum of Budget_Varience" fld="8" baseField="0" baseItem="0" numFmtId="178"/>
  </dataFields>
  <formats count="1">
    <format dxfId="0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6" firstHeaderRow="0" firstDataRow="1" firstDataCol="1"/>
  <pivotFields count="9">
    <pivotField compact="0" showAll="0"/>
    <pivotField compact="0" showAll="0"/>
    <pivotField compact="0" showAll="0"/>
    <pivotField compact="0" numFmtId="178" showAll="0"/>
    <pivotField dataField="1" compact="0" showAll="0"/>
    <pivotField axis="axisRow" compact="0" showAll="0">
      <items count="3">
        <item x="0"/>
        <item x="1"/>
        <item t="default"/>
      </items>
    </pivotField>
    <pivotField compact="0" numFmtId="178" showAll="0"/>
    <pivotField dataField="1" compact="0" showAll="0"/>
    <pivotField dragToCol="0" dragToPage="0" dragToRow="0" compact="0" numFmtId="178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arget_Days" fld="4" subtotal="average" baseField="0" baseItem="0"/>
    <dataField name="Average of Actual_Days" fld="7" subtotal="average" baseField="0" baseItem="0"/>
  </dataFields>
  <formats count="14">
    <format dxfId="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9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axis="axisRow" compact="0" showAll="0">
      <items count="6">
        <item x="0"/>
        <item x="4"/>
        <item x="3"/>
        <item x="2"/>
        <item x="1"/>
        <item t="default"/>
      </items>
    </pivotField>
    <pivotField compact="0" numFmtId="178" showAll="0"/>
    <pivotField compact="0" showAll="0"/>
    <pivotField compact="0" showAll="0"/>
    <pivotField compact="0" numFmtId="178" showAll="0"/>
    <pivotField compact="0" showAll="0"/>
    <pivotField dragToCol="0" dragToPage="0" dragToRow="0" compact="0" numFmtId="178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ject_ID" fld="0" subtotal="count" showDataAs="percentOfCol" baseField="0" baseItem="0" numFmtId="10"/>
  </dataFields>
  <formats count="2">
    <format dxfId="15">
      <pivotArea collapsedLevelsAreSubtotals="1" fieldPosition="0"/>
    </format>
    <format dxfId="1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9">
    <pivotField compact="0" showAll="0"/>
    <pivotField compact="0" showAll="0"/>
    <pivotField axis="axisRow" compact="0" showAll="0">
      <items count="6">
        <item x="0"/>
        <item x="4"/>
        <item x="3"/>
        <item x="2"/>
        <item x="1"/>
        <item t="default"/>
      </items>
    </pivotField>
    <pivotField compact="0" numFmtId="178" showAll="0"/>
    <pivotField dataField="1" compact="0" showAll="0"/>
    <pivotField compact="0" showAll="0"/>
    <pivotField compact="0" numFmtId="178" showAll="0"/>
    <pivotField compact="0" showAll="0"/>
    <pivotField dragToCol="0" dragToPage="0" dragToRow="0" compact="0" numFmtId="178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arget_Days" fld="4" subtotal="average" baseField="0" baseItem="0"/>
  </dataFields>
  <formats count="6"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L3:M9" totalsRowShown="0">
  <autoFilter xmlns:etc="http://www.wps.cn/officeDocument/2017/etCustomData" ref="L3:M9" etc:filterBottomFollowUsedRange="0"/>
  <tableColumns count="2">
    <tableColumn id="1" name="Index"/>
    <tableColumn id="2" name="Project_Name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H1001" totalsRowShown="0">
  <autoFilter xmlns:etc="http://www.wps.cn/officeDocument/2017/etCustomData" ref="A1:H1001" etc:filterBottomFollowUsedRange="0">
    <extLst/>
  </autoFilter>
  <tableColumns count="8">
    <tableColumn id="1" name="Project_ID" dataDxfId="23"/>
    <tableColumn id="2" name="Project_Name">
      <calculatedColumnFormula>VLOOKUP(MOD(A2,6),$L$4:$M$9,2,FALSE)</calculatedColumnFormula>
    </tableColumn>
    <tableColumn id="3" name="Region"/>
    <tableColumn id="4" name="Estimated_Budget($)" dataDxfId="24"/>
    <tableColumn id="5" name="Target_Days"/>
    <tableColumn id="6" name="Material_Delay_Flag"/>
    <tableColumn id="7" name="Actual_Spend" dataDxfId="25">
      <calculatedColumnFormula>IF(C2="North",D2*1.15,D2*0.95)</calculatedColumnFormula>
    </tableColumn>
    <tableColumn id="8" name="Actual_Days" dataDxfId="26">
      <calculatedColumnFormula>IF(F2="Yes",E2+30,E2+2)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"/>
  <sheetViews>
    <sheetView workbookViewId="0">
      <selection activeCell="D15" sqref="D15"/>
    </sheetView>
  </sheetViews>
  <sheetFormatPr defaultColWidth="8.88888888888889" defaultRowHeight="14.4" outlineLevelCol="3"/>
  <cols>
    <col min="1" max="1" width="11.6666666666667"/>
    <col min="2" max="4" width="26.5555555555556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>
        <v>106839257</v>
      </c>
      <c r="C4" s="3">
        <v>101497294.15</v>
      </c>
      <c r="D4" s="2">
        <v>-5341962.84999999</v>
      </c>
    </row>
    <row r="5" spans="1:4">
      <c r="A5" t="s">
        <v>5</v>
      </c>
      <c r="B5">
        <v>27501249</v>
      </c>
      <c r="C5" s="3">
        <v>26126186.55</v>
      </c>
      <c r="D5" s="2">
        <v>-1375062.45</v>
      </c>
    </row>
    <row r="6" spans="1:4">
      <c r="A6" t="s">
        <v>6</v>
      </c>
      <c r="B6">
        <v>117514404</v>
      </c>
      <c r="C6" s="3">
        <v>135141564.6</v>
      </c>
      <c r="D6" s="2">
        <v>17627160.6</v>
      </c>
    </row>
    <row r="7" spans="1:4">
      <c r="A7" t="s">
        <v>7</v>
      </c>
      <c r="B7">
        <v>119830769</v>
      </c>
      <c r="C7" s="3">
        <v>113839230.55</v>
      </c>
      <c r="D7" s="2">
        <v>-5991538.45</v>
      </c>
    </row>
    <row r="8" spans="1:4">
      <c r="A8" t="s">
        <v>8</v>
      </c>
      <c r="B8">
        <v>118689891</v>
      </c>
      <c r="C8" s="3">
        <v>112755396.45</v>
      </c>
      <c r="D8" s="2">
        <v>-5934494.55</v>
      </c>
    </row>
    <row r="9" spans="1:4">
      <c r="A9" t="s">
        <v>9</v>
      </c>
      <c r="B9">
        <v>490375570</v>
      </c>
      <c r="C9" s="3">
        <v>489359672.3</v>
      </c>
      <c r="D9" s="2">
        <v>-1015897.69999999</v>
      </c>
    </row>
    <row r="10" spans="3:3">
      <c r="C10" s="3"/>
    </row>
    <row r="11" spans="3:3">
      <c r="C1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6"/>
  <sheetViews>
    <sheetView workbookViewId="0">
      <selection activeCell="C5" sqref="C5"/>
    </sheetView>
  </sheetViews>
  <sheetFormatPr defaultColWidth="8.88888888888889" defaultRowHeight="14.4" outlineLevelRow="5" outlineLevelCol="2"/>
  <cols>
    <col min="1" max="1" width="21.7777777777778"/>
    <col min="2" max="3" width="22.4444444444444"/>
  </cols>
  <sheetData>
    <row r="3" spans="1:3">
      <c r="A3" t="s">
        <v>10</v>
      </c>
      <c r="B3" t="s">
        <v>11</v>
      </c>
      <c r="C3" t="s">
        <v>12</v>
      </c>
    </row>
    <row r="4" spans="1:3">
      <c r="A4" t="s">
        <v>13</v>
      </c>
      <c r="B4" s="3">
        <v>173.123287671233</v>
      </c>
      <c r="C4" s="3">
        <v>175.123287671233</v>
      </c>
    </row>
    <row r="5" spans="1:3">
      <c r="A5" t="s">
        <v>14</v>
      </c>
      <c r="B5" s="3">
        <v>169.265848670757</v>
      </c>
      <c r="C5" s="3">
        <v>199.265848670757</v>
      </c>
    </row>
    <row r="6" spans="1:3">
      <c r="A6" t="s">
        <v>9</v>
      </c>
      <c r="B6" s="3">
        <v>171.237</v>
      </c>
      <c r="C6" s="3">
        <v>186.929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4" sqref="B4"/>
    </sheetView>
  </sheetViews>
  <sheetFormatPr defaultColWidth="8.88888888888889" defaultRowHeight="14.4" outlineLevelCol="1"/>
  <cols>
    <col min="1" max="1" width="11.6666666666667"/>
    <col min="2" max="2" width="19.2222222222222"/>
  </cols>
  <sheetData>
    <row r="3" spans="1:2">
      <c r="A3" t="s">
        <v>0</v>
      </c>
      <c r="B3" t="s">
        <v>15</v>
      </c>
    </row>
    <row r="4" spans="1:2">
      <c r="A4" t="s">
        <v>4</v>
      </c>
      <c r="B4" s="4">
        <v>0.226</v>
      </c>
    </row>
    <row r="5" spans="1:2">
      <c r="A5" t="s">
        <v>5</v>
      </c>
      <c r="B5" s="4">
        <v>0.061</v>
      </c>
    </row>
    <row r="6" spans="1:2">
      <c r="A6" t="s">
        <v>6</v>
      </c>
      <c r="B6" s="4">
        <v>0.237</v>
      </c>
    </row>
    <row r="7" spans="1:2">
      <c r="A7" t="s">
        <v>7</v>
      </c>
      <c r="B7" s="4">
        <v>0.238</v>
      </c>
    </row>
    <row r="8" spans="1:2">
      <c r="A8" t="s">
        <v>8</v>
      </c>
      <c r="B8" s="4">
        <v>0.238</v>
      </c>
    </row>
    <row r="9" spans="1:2">
      <c r="A9" t="s">
        <v>9</v>
      </c>
      <c r="B9" s="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L17" sqref="L17"/>
    </sheetView>
  </sheetViews>
  <sheetFormatPr defaultColWidth="8.88888888888889" defaultRowHeight="14.4" outlineLevelCol="1"/>
  <cols>
    <col min="1" max="1" width="11.6666666666667"/>
    <col min="2" max="2" width="23"/>
  </cols>
  <sheetData>
    <row r="3" spans="1:2">
      <c r="A3" t="s">
        <v>0</v>
      </c>
      <c r="B3" t="s">
        <v>11</v>
      </c>
    </row>
    <row r="4" spans="1:2">
      <c r="A4" t="s">
        <v>4</v>
      </c>
      <c r="B4" s="3">
        <v>167.880530973451</v>
      </c>
    </row>
    <row r="5" spans="1:2">
      <c r="A5" t="s">
        <v>5</v>
      </c>
      <c r="B5" s="3">
        <v>163.983606557377</v>
      </c>
    </row>
    <row r="6" spans="1:2">
      <c r="A6" t="s">
        <v>6</v>
      </c>
      <c r="B6" s="3">
        <v>171.658227848101</v>
      </c>
    </row>
    <row r="7" spans="1:2">
      <c r="A7" t="s">
        <v>7</v>
      </c>
      <c r="B7" s="3">
        <v>174.642857142857</v>
      </c>
    </row>
    <row r="8" spans="1:2">
      <c r="A8" t="s">
        <v>8</v>
      </c>
      <c r="B8" s="3">
        <v>172.457983193277</v>
      </c>
    </row>
    <row r="9" spans="1:2">
      <c r="A9" t="s">
        <v>9</v>
      </c>
      <c r="B9" s="3">
        <v>171.237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zoomScaleSheetLayoutView="60" workbookViewId="0">
      <selection activeCell="M17" sqref="M17"/>
    </sheetView>
  </sheetViews>
  <sheetFormatPr defaultColWidth="10" defaultRowHeight="14.4"/>
  <cols>
    <col min="1" max="1" width="10.5555555555556" style="1" customWidth="1"/>
    <col min="2" max="2" width="27.8888888888889" customWidth="1"/>
    <col min="3" max="3" width="7.44444444444444" customWidth="1"/>
    <col min="4" max="4" width="20.5555555555556" style="2" customWidth="1"/>
    <col min="5" max="5" width="12.2222222222222" customWidth="1"/>
    <col min="6" max="6" width="19.4444444444444" customWidth="1"/>
    <col min="7" max="7" width="13.7777777777778" style="2" customWidth="1"/>
    <col min="8" max="8" width="12.2222222222222" customWidth="1"/>
    <col min="13" max="13" width="27.8888888888889" customWidth="1"/>
  </cols>
  <sheetData>
    <row r="1" spans="1:8">
      <c r="A1" s="1" t="s">
        <v>16</v>
      </c>
      <c r="B1" t="s">
        <v>17</v>
      </c>
      <c r="C1" t="s">
        <v>0</v>
      </c>
      <c r="D1" s="2" t="s">
        <v>18</v>
      </c>
      <c r="E1" t="s">
        <v>19</v>
      </c>
      <c r="F1" t="s">
        <v>10</v>
      </c>
      <c r="G1" s="2" t="s">
        <v>20</v>
      </c>
      <c r="H1" t="s">
        <v>21</v>
      </c>
    </row>
    <row r="2" spans="1:8">
      <c r="A2" s="1">
        <v>1</v>
      </c>
      <c r="B2" t="str">
        <f>VLOOKUP(MOD(A2,6),$L$4:$M$9,2,FALSE)</f>
        <v>Metro Corridor Extension</v>
      </c>
      <c r="C2" t="s">
        <v>4</v>
      </c>
      <c r="D2" s="2">
        <v>546355</v>
      </c>
      <c r="E2">
        <v>232</v>
      </c>
      <c r="F2" t="s">
        <v>13</v>
      </c>
      <c r="G2" s="2">
        <f>IF(C2="North",D2*1.15,D2*0.95)</f>
        <v>519037.25</v>
      </c>
      <c r="H2" s="1">
        <f>IF(F2="Yes",E2+30,E2+2)</f>
        <v>234</v>
      </c>
    </row>
    <row r="3" spans="1:13">
      <c r="A3" s="1">
        <v>2</v>
      </c>
      <c r="B3" t="str">
        <f t="shared" ref="B3:B66" si="0">VLOOKUP(MOD(A3,6),$L$4:$M$9,2,FALSE)</f>
        <v>Smart Grid Substation</v>
      </c>
      <c r="C3" t="s">
        <v>8</v>
      </c>
      <c r="D3" s="2">
        <v>197831</v>
      </c>
      <c r="E3">
        <v>232</v>
      </c>
      <c r="F3" t="s">
        <v>13</v>
      </c>
      <c r="G3" s="2">
        <f t="shared" ref="G2:G65" si="1">IF(C3="North",D3*1.15,D3*0.95)</f>
        <v>187939.45</v>
      </c>
      <c r="H3" s="1">
        <f t="shared" ref="H2:H65" si="2">IF(F3="Yes",E3+30,E3+2)</f>
        <v>234</v>
      </c>
      <c r="L3" t="s">
        <v>22</v>
      </c>
      <c r="M3" t="s">
        <v>23</v>
      </c>
    </row>
    <row r="4" spans="1:13">
      <c r="A4" s="1">
        <v>3</v>
      </c>
      <c r="B4" t="str">
        <f t="shared" si="0"/>
        <v>Elevated Flyover Construction</v>
      </c>
      <c r="C4" t="s">
        <v>7</v>
      </c>
      <c r="D4" s="2">
        <v>603556</v>
      </c>
      <c r="E4">
        <v>159</v>
      </c>
      <c r="F4" t="s">
        <v>14</v>
      </c>
      <c r="G4" s="2">
        <f t="shared" si="1"/>
        <v>573378.2</v>
      </c>
      <c r="H4" s="1">
        <f t="shared" si="2"/>
        <v>189</v>
      </c>
      <c r="L4">
        <v>0</v>
      </c>
      <c r="M4" t="s">
        <v>24</v>
      </c>
    </row>
    <row r="5" spans="1:13">
      <c r="A5" s="1">
        <v>4</v>
      </c>
      <c r="B5" t="str">
        <f t="shared" si="0"/>
        <v>Solar Power Plant Setup</v>
      </c>
      <c r="C5" t="s">
        <v>7</v>
      </c>
      <c r="D5" s="2">
        <v>704446</v>
      </c>
      <c r="E5">
        <v>211</v>
      </c>
      <c r="F5" t="s">
        <v>13</v>
      </c>
      <c r="G5" s="2">
        <f t="shared" si="1"/>
        <v>669223.7</v>
      </c>
      <c r="H5" s="1">
        <f t="shared" si="2"/>
        <v>213</v>
      </c>
      <c r="L5">
        <v>1</v>
      </c>
      <c r="M5" t="s">
        <v>25</v>
      </c>
    </row>
    <row r="6" spans="1:13">
      <c r="A6" s="1">
        <v>5</v>
      </c>
      <c r="B6" t="str">
        <f t="shared" si="0"/>
        <v>Water Treatment Pipeline</v>
      </c>
      <c r="C6" t="s">
        <v>4</v>
      </c>
      <c r="D6" s="2">
        <v>635892</v>
      </c>
      <c r="E6">
        <v>232</v>
      </c>
      <c r="F6" t="s">
        <v>14</v>
      </c>
      <c r="G6" s="2">
        <f t="shared" si="1"/>
        <v>604097.4</v>
      </c>
      <c r="H6" s="1">
        <f t="shared" si="2"/>
        <v>262</v>
      </c>
      <c r="L6">
        <v>2</v>
      </c>
      <c r="M6" t="s">
        <v>26</v>
      </c>
    </row>
    <row r="7" spans="1:13">
      <c r="A7" s="1">
        <v>6</v>
      </c>
      <c r="B7" t="str">
        <f t="shared" si="0"/>
        <v>National Highway Expansion</v>
      </c>
      <c r="C7" t="s">
        <v>7</v>
      </c>
      <c r="D7" s="2">
        <v>433588</v>
      </c>
      <c r="E7">
        <v>191</v>
      </c>
      <c r="F7" t="s">
        <v>14</v>
      </c>
      <c r="G7" s="2">
        <f t="shared" si="1"/>
        <v>411908.6</v>
      </c>
      <c r="H7" s="1">
        <f t="shared" si="2"/>
        <v>221</v>
      </c>
      <c r="L7">
        <v>3</v>
      </c>
      <c r="M7" t="s">
        <v>27</v>
      </c>
    </row>
    <row r="8" spans="1:13">
      <c r="A8" s="1">
        <v>7</v>
      </c>
      <c r="B8" t="str">
        <f t="shared" si="0"/>
        <v>Metro Corridor Extension</v>
      </c>
      <c r="C8" t="s">
        <v>8</v>
      </c>
      <c r="D8" s="2">
        <v>561142</v>
      </c>
      <c r="E8">
        <v>148</v>
      </c>
      <c r="F8" t="s">
        <v>14</v>
      </c>
      <c r="G8" s="2">
        <f t="shared" si="1"/>
        <v>533084.9</v>
      </c>
      <c r="H8" s="1">
        <f t="shared" si="2"/>
        <v>178</v>
      </c>
      <c r="L8">
        <v>4</v>
      </c>
      <c r="M8" t="s">
        <v>28</v>
      </c>
    </row>
    <row r="9" spans="1:13">
      <c r="A9" s="1">
        <v>8</v>
      </c>
      <c r="B9" t="str">
        <f t="shared" si="0"/>
        <v>Smart Grid Substation</v>
      </c>
      <c r="C9" t="s">
        <v>7</v>
      </c>
      <c r="D9" s="2">
        <v>601927</v>
      </c>
      <c r="E9">
        <v>240</v>
      </c>
      <c r="F9" t="s">
        <v>13</v>
      </c>
      <c r="G9" s="2">
        <f t="shared" si="1"/>
        <v>571830.65</v>
      </c>
      <c r="H9" s="1">
        <f t="shared" si="2"/>
        <v>242</v>
      </c>
      <c r="L9">
        <v>5</v>
      </c>
      <c r="M9" t="s">
        <v>29</v>
      </c>
    </row>
    <row r="10" spans="1:8">
      <c r="A10" s="1">
        <v>9</v>
      </c>
      <c r="B10" t="str">
        <f t="shared" si="0"/>
        <v>Elevated Flyover Construction</v>
      </c>
      <c r="C10" t="s">
        <v>8</v>
      </c>
      <c r="D10" s="2">
        <v>758660</v>
      </c>
      <c r="E10">
        <v>131</v>
      </c>
      <c r="F10" t="s">
        <v>14</v>
      </c>
      <c r="G10" s="2">
        <f t="shared" si="1"/>
        <v>720727</v>
      </c>
      <c r="H10" s="1">
        <f t="shared" si="2"/>
        <v>161</v>
      </c>
    </row>
    <row r="11" spans="1:8">
      <c r="A11" s="1">
        <v>10</v>
      </c>
      <c r="B11" t="str">
        <f t="shared" si="0"/>
        <v>Solar Power Plant Setup</v>
      </c>
      <c r="C11" t="s">
        <v>6</v>
      </c>
      <c r="D11" s="2">
        <v>427294</v>
      </c>
      <c r="E11">
        <v>167</v>
      </c>
      <c r="F11" t="s">
        <v>13</v>
      </c>
      <c r="G11" s="2">
        <f t="shared" si="1"/>
        <v>491388.1</v>
      </c>
      <c r="H11" s="1">
        <f t="shared" si="2"/>
        <v>169</v>
      </c>
    </row>
    <row r="12" spans="1:8">
      <c r="A12" s="1">
        <v>11</v>
      </c>
      <c r="B12" t="str">
        <f t="shared" si="0"/>
        <v>Water Treatment Pipeline</v>
      </c>
      <c r="C12" t="s">
        <v>8</v>
      </c>
      <c r="D12" s="2">
        <v>769586</v>
      </c>
      <c r="E12">
        <v>232</v>
      </c>
      <c r="F12" t="s">
        <v>14</v>
      </c>
      <c r="G12" s="2">
        <f t="shared" si="1"/>
        <v>731106.7</v>
      </c>
      <c r="H12" s="1">
        <f t="shared" si="2"/>
        <v>262</v>
      </c>
    </row>
    <row r="13" spans="1:8">
      <c r="A13" s="1">
        <v>12</v>
      </c>
      <c r="B13" t="str">
        <f t="shared" si="0"/>
        <v>National Highway Expansion</v>
      </c>
      <c r="C13" t="s">
        <v>8</v>
      </c>
      <c r="D13" s="2">
        <v>889044</v>
      </c>
      <c r="E13">
        <v>187</v>
      </c>
      <c r="F13" t="s">
        <v>13</v>
      </c>
      <c r="G13" s="2">
        <f t="shared" si="1"/>
        <v>844591.8</v>
      </c>
      <c r="H13" s="1">
        <f t="shared" si="2"/>
        <v>189</v>
      </c>
    </row>
    <row r="14" spans="1:8">
      <c r="A14" s="1">
        <v>13</v>
      </c>
      <c r="B14" t="str">
        <f t="shared" si="0"/>
        <v>Metro Corridor Extension</v>
      </c>
      <c r="C14" t="s">
        <v>8</v>
      </c>
      <c r="D14" s="2">
        <v>554425</v>
      </c>
      <c r="E14">
        <v>132</v>
      </c>
      <c r="F14" t="s">
        <v>13</v>
      </c>
      <c r="G14" s="2">
        <f t="shared" si="1"/>
        <v>526703.75</v>
      </c>
      <c r="H14" s="1">
        <f t="shared" si="2"/>
        <v>134</v>
      </c>
    </row>
    <row r="15" spans="1:9">
      <c r="A15" s="1">
        <v>14</v>
      </c>
      <c r="B15" t="str">
        <f t="shared" si="0"/>
        <v>Smart Grid Substation</v>
      </c>
      <c r="C15" t="s">
        <v>8</v>
      </c>
      <c r="D15" s="2">
        <v>657408</v>
      </c>
      <c r="E15">
        <v>208</v>
      </c>
      <c r="F15" t="s">
        <v>13</v>
      </c>
      <c r="G15" s="2">
        <f t="shared" si="1"/>
        <v>624537.6</v>
      </c>
      <c r="H15" s="1">
        <f t="shared" si="2"/>
        <v>210</v>
      </c>
      <c r="I15" cm="1">
        <f t="array" ref="I15">MODE(E2:E1001)</f>
        <v>232</v>
      </c>
    </row>
    <row r="16" spans="1:8">
      <c r="A16" s="1">
        <v>15</v>
      </c>
      <c r="B16" t="str">
        <f t="shared" si="0"/>
        <v>Elevated Flyover Construction</v>
      </c>
      <c r="C16" t="s">
        <v>8</v>
      </c>
      <c r="D16" s="2">
        <v>234111</v>
      </c>
      <c r="E16">
        <v>232</v>
      </c>
      <c r="F16" t="s">
        <v>13</v>
      </c>
      <c r="G16" s="2">
        <f t="shared" si="1"/>
        <v>222405.45</v>
      </c>
      <c r="H16" s="1">
        <f t="shared" si="2"/>
        <v>234</v>
      </c>
    </row>
    <row r="17" spans="1:8">
      <c r="A17" s="1">
        <v>16</v>
      </c>
      <c r="B17" t="str">
        <f t="shared" si="0"/>
        <v>Solar Power Plant Setup</v>
      </c>
      <c r="C17" t="s">
        <v>6</v>
      </c>
      <c r="D17" s="2">
        <v>784503</v>
      </c>
      <c r="E17">
        <v>152</v>
      </c>
      <c r="F17" t="s">
        <v>14</v>
      </c>
      <c r="G17" s="2">
        <f t="shared" si="1"/>
        <v>902178.45</v>
      </c>
      <c r="H17" s="1">
        <f t="shared" si="2"/>
        <v>182</v>
      </c>
    </row>
    <row r="18" spans="1:8">
      <c r="A18" s="1">
        <v>17</v>
      </c>
      <c r="B18" t="str">
        <f t="shared" si="0"/>
        <v>Water Treatment Pipeline</v>
      </c>
      <c r="C18" t="s">
        <v>6</v>
      </c>
      <c r="D18" s="2">
        <v>497437</v>
      </c>
      <c r="E18">
        <v>171</v>
      </c>
      <c r="F18" t="s">
        <v>13</v>
      </c>
      <c r="G18" s="2">
        <f t="shared" si="1"/>
        <v>572052.55</v>
      </c>
      <c r="H18" s="1">
        <f t="shared" si="2"/>
        <v>173</v>
      </c>
    </row>
    <row r="19" spans="1:8">
      <c r="A19" s="1">
        <v>18</v>
      </c>
      <c r="B19" t="str">
        <f t="shared" si="0"/>
        <v>National Highway Expansion</v>
      </c>
      <c r="C19" t="s">
        <v>6</v>
      </c>
      <c r="D19" s="2">
        <v>427702</v>
      </c>
      <c r="E19">
        <v>127</v>
      </c>
      <c r="F19" t="s">
        <v>14</v>
      </c>
      <c r="G19" s="2">
        <f t="shared" si="1"/>
        <v>491857.3</v>
      </c>
      <c r="H19" s="1">
        <f t="shared" si="2"/>
        <v>157</v>
      </c>
    </row>
    <row r="20" spans="1:8">
      <c r="A20" s="1">
        <v>19</v>
      </c>
      <c r="B20" t="str">
        <f t="shared" si="0"/>
        <v>Metro Corridor Extension</v>
      </c>
      <c r="C20" t="s">
        <v>5</v>
      </c>
      <c r="D20" s="2">
        <v>359141</v>
      </c>
      <c r="E20">
        <v>94</v>
      </c>
      <c r="F20" t="s">
        <v>14</v>
      </c>
      <c r="G20" s="2">
        <f t="shared" si="1"/>
        <v>341183.95</v>
      </c>
      <c r="H20" s="1">
        <f t="shared" si="2"/>
        <v>124</v>
      </c>
    </row>
    <row r="21" spans="1:8">
      <c r="A21" s="1">
        <v>20</v>
      </c>
      <c r="B21" t="str">
        <f t="shared" si="0"/>
        <v>Smart Grid Substation</v>
      </c>
      <c r="C21" t="s">
        <v>7</v>
      </c>
      <c r="D21" s="2">
        <v>297972</v>
      </c>
      <c r="E21">
        <v>166</v>
      </c>
      <c r="F21" t="s">
        <v>14</v>
      </c>
      <c r="G21" s="2">
        <f t="shared" si="1"/>
        <v>283073.4</v>
      </c>
      <c r="H21" s="1">
        <f t="shared" si="2"/>
        <v>196</v>
      </c>
    </row>
    <row r="22" spans="1:8">
      <c r="A22" s="1">
        <v>21</v>
      </c>
      <c r="B22" t="str">
        <f t="shared" si="0"/>
        <v>Elevated Flyover Construction</v>
      </c>
      <c r="C22" t="s">
        <v>6</v>
      </c>
      <c r="D22" s="2">
        <v>247316</v>
      </c>
      <c r="E22">
        <v>240</v>
      </c>
      <c r="F22" t="s">
        <v>14</v>
      </c>
      <c r="G22" s="2">
        <f t="shared" si="1"/>
        <v>284413.4</v>
      </c>
      <c r="H22" s="1">
        <f t="shared" si="2"/>
        <v>270</v>
      </c>
    </row>
    <row r="23" spans="1:8">
      <c r="A23" s="1">
        <v>22</v>
      </c>
      <c r="B23" t="str">
        <f t="shared" si="0"/>
        <v>Solar Power Plant Setup</v>
      </c>
      <c r="C23" t="s">
        <v>4</v>
      </c>
      <c r="D23" s="2">
        <v>272446</v>
      </c>
      <c r="E23">
        <v>112</v>
      </c>
      <c r="F23" t="s">
        <v>13</v>
      </c>
      <c r="G23" s="2">
        <f t="shared" si="1"/>
        <v>258823.7</v>
      </c>
      <c r="H23" s="1">
        <f t="shared" si="2"/>
        <v>114</v>
      </c>
    </row>
    <row r="24" spans="1:8">
      <c r="A24" s="1">
        <v>23</v>
      </c>
      <c r="B24" t="str">
        <f t="shared" si="0"/>
        <v>Water Treatment Pipeline</v>
      </c>
      <c r="C24" t="s">
        <v>6</v>
      </c>
      <c r="D24" s="2">
        <v>373114</v>
      </c>
      <c r="E24">
        <v>174</v>
      </c>
      <c r="F24" t="s">
        <v>13</v>
      </c>
      <c r="G24" s="2">
        <f t="shared" si="1"/>
        <v>429081.1</v>
      </c>
      <c r="H24" s="1">
        <f t="shared" si="2"/>
        <v>176</v>
      </c>
    </row>
    <row r="25" spans="1:8">
      <c r="A25" s="1">
        <v>24</v>
      </c>
      <c r="B25" t="str">
        <f t="shared" si="0"/>
        <v>National Highway Expansion</v>
      </c>
      <c r="C25" t="s">
        <v>7</v>
      </c>
      <c r="D25" s="2">
        <v>706703</v>
      </c>
      <c r="E25">
        <v>199</v>
      </c>
      <c r="F25" t="s">
        <v>14</v>
      </c>
      <c r="G25" s="2">
        <f t="shared" si="1"/>
        <v>671367.85</v>
      </c>
      <c r="H25" s="1">
        <f t="shared" si="2"/>
        <v>229</v>
      </c>
    </row>
    <row r="26" spans="1:8">
      <c r="A26" s="1">
        <v>25</v>
      </c>
      <c r="B26" t="str">
        <f t="shared" si="0"/>
        <v>Metro Corridor Extension</v>
      </c>
      <c r="C26" t="s">
        <v>7</v>
      </c>
      <c r="D26" s="2">
        <v>210484</v>
      </c>
      <c r="E26">
        <v>232</v>
      </c>
      <c r="F26" t="s">
        <v>13</v>
      </c>
      <c r="G26" s="2">
        <f t="shared" si="1"/>
        <v>199959.8</v>
      </c>
      <c r="H26" s="1">
        <f t="shared" si="2"/>
        <v>234</v>
      </c>
    </row>
    <row r="27" spans="1:8">
      <c r="A27" s="1">
        <v>26</v>
      </c>
      <c r="B27" t="str">
        <f t="shared" si="0"/>
        <v>Smart Grid Substation</v>
      </c>
      <c r="C27" t="s">
        <v>6</v>
      </c>
      <c r="D27" s="2">
        <v>422455</v>
      </c>
      <c r="E27">
        <v>200</v>
      </c>
      <c r="F27" t="s">
        <v>13</v>
      </c>
      <c r="G27" s="2">
        <f t="shared" si="1"/>
        <v>485823.25</v>
      </c>
      <c r="H27" s="1">
        <f t="shared" si="2"/>
        <v>202</v>
      </c>
    </row>
    <row r="28" spans="1:8">
      <c r="A28" s="1">
        <v>27</v>
      </c>
      <c r="B28" t="str">
        <f t="shared" si="0"/>
        <v>Elevated Flyover Construction</v>
      </c>
      <c r="C28" t="s">
        <v>6</v>
      </c>
      <c r="D28" s="2">
        <v>401161</v>
      </c>
      <c r="E28">
        <v>199</v>
      </c>
      <c r="F28" t="s">
        <v>13</v>
      </c>
      <c r="G28" s="2">
        <f t="shared" si="1"/>
        <v>461335.15</v>
      </c>
      <c r="H28" s="1">
        <f t="shared" si="2"/>
        <v>201</v>
      </c>
    </row>
    <row r="29" spans="1:8">
      <c r="A29" s="1">
        <v>28</v>
      </c>
      <c r="B29" t="str">
        <f t="shared" si="0"/>
        <v>Solar Power Plant Setup</v>
      </c>
      <c r="C29" t="s">
        <v>8</v>
      </c>
      <c r="D29" s="2">
        <v>329162</v>
      </c>
      <c r="E29">
        <v>117</v>
      </c>
      <c r="F29" t="s">
        <v>14</v>
      </c>
      <c r="G29" s="2">
        <f t="shared" si="1"/>
        <v>312703.9</v>
      </c>
      <c r="H29" s="1">
        <f t="shared" si="2"/>
        <v>147</v>
      </c>
    </row>
    <row r="30" spans="1:8">
      <c r="A30" s="1">
        <v>29</v>
      </c>
      <c r="B30" t="str">
        <f t="shared" si="0"/>
        <v>Water Treatment Pipeline</v>
      </c>
      <c r="C30" t="s">
        <v>6</v>
      </c>
      <c r="D30" s="2">
        <v>152536</v>
      </c>
      <c r="E30">
        <v>205</v>
      </c>
      <c r="F30" t="s">
        <v>13</v>
      </c>
      <c r="G30" s="2">
        <f t="shared" si="1"/>
        <v>175416.4</v>
      </c>
      <c r="H30" s="1">
        <f t="shared" si="2"/>
        <v>207</v>
      </c>
    </row>
    <row r="31" spans="1:8">
      <c r="A31" s="1">
        <v>30</v>
      </c>
      <c r="B31" t="str">
        <f t="shared" si="0"/>
        <v>National Highway Expansion</v>
      </c>
      <c r="C31" t="s">
        <v>8</v>
      </c>
      <c r="D31" s="2">
        <v>215535</v>
      </c>
      <c r="E31">
        <v>236</v>
      </c>
      <c r="F31" t="s">
        <v>13</v>
      </c>
      <c r="G31" s="2">
        <f t="shared" si="1"/>
        <v>204758.25</v>
      </c>
      <c r="H31" s="1">
        <f t="shared" si="2"/>
        <v>238</v>
      </c>
    </row>
    <row r="32" spans="1:8">
      <c r="A32" s="1">
        <v>31</v>
      </c>
      <c r="B32" t="str">
        <f t="shared" si="0"/>
        <v>Metro Corridor Extension</v>
      </c>
      <c r="C32" t="s">
        <v>5</v>
      </c>
      <c r="D32" s="2">
        <v>860487</v>
      </c>
      <c r="E32">
        <v>122</v>
      </c>
      <c r="F32" t="s">
        <v>14</v>
      </c>
      <c r="G32" s="2">
        <f t="shared" si="1"/>
        <v>817462.65</v>
      </c>
      <c r="H32" s="1">
        <f t="shared" si="2"/>
        <v>152</v>
      </c>
    </row>
    <row r="33" spans="1:8">
      <c r="A33" s="1">
        <v>32</v>
      </c>
      <c r="B33" t="str">
        <f t="shared" si="0"/>
        <v>Smart Grid Substation</v>
      </c>
      <c r="C33" t="s">
        <v>7</v>
      </c>
      <c r="D33" s="2">
        <v>650923</v>
      </c>
      <c r="E33">
        <v>101</v>
      </c>
      <c r="F33" t="s">
        <v>14</v>
      </c>
      <c r="G33" s="2">
        <f t="shared" si="1"/>
        <v>618376.85</v>
      </c>
      <c r="H33" s="1">
        <f t="shared" si="2"/>
        <v>131</v>
      </c>
    </row>
    <row r="34" spans="1:8">
      <c r="A34" s="1">
        <v>33</v>
      </c>
      <c r="B34" t="str">
        <f t="shared" si="0"/>
        <v>Elevated Flyover Construction</v>
      </c>
      <c r="C34" t="s">
        <v>7</v>
      </c>
      <c r="D34" s="2">
        <v>775886</v>
      </c>
      <c r="E34">
        <v>224</v>
      </c>
      <c r="F34" t="s">
        <v>13</v>
      </c>
      <c r="G34" s="2">
        <f t="shared" si="1"/>
        <v>737091.7</v>
      </c>
      <c r="H34" s="1">
        <f t="shared" si="2"/>
        <v>226</v>
      </c>
    </row>
    <row r="35" spans="1:8">
      <c r="A35" s="1">
        <v>34</v>
      </c>
      <c r="B35" t="str">
        <f t="shared" si="0"/>
        <v>Solar Power Plant Setup</v>
      </c>
      <c r="C35" t="s">
        <v>8</v>
      </c>
      <c r="D35" s="2">
        <v>521229</v>
      </c>
      <c r="E35">
        <v>112</v>
      </c>
      <c r="F35" t="s">
        <v>14</v>
      </c>
      <c r="G35" s="2">
        <f t="shared" si="1"/>
        <v>495167.55</v>
      </c>
      <c r="H35" s="1">
        <f t="shared" si="2"/>
        <v>142</v>
      </c>
    </row>
    <row r="36" spans="1:8">
      <c r="A36" s="1">
        <v>35</v>
      </c>
      <c r="B36" t="str">
        <f t="shared" si="0"/>
        <v>Water Treatment Pipeline</v>
      </c>
      <c r="C36" t="s">
        <v>8</v>
      </c>
      <c r="D36" s="2">
        <v>884264</v>
      </c>
      <c r="E36">
        <v>199</v>
      </c>
      <c r="F36" t="s">
        <v>14</v>
      </c>
      <c r="G36" s="2">
        <f t="shared" si="1"/>
        <v>840050.8</v>
      </c>
      <c r="H36" s="1">
        <f t="shared" si="2"/>
        <v>229</v>
      </c>
    </row>
    <row r="37" spans="1:8">
      <c r="A37" s="1">
        <v>36</v>
      </c>
      <c r="B37" t="str">
        <f t="shared" si="0"/>
        <v>National Highway Expansion</v>
      </c>
      <c r="C37" t="s">
        <v>4</v>
      </c>
      <c r="D37" s="2">
        <v>417081</v>
      </c>
      <c r="E37">
        <v>124</v>
      </c>
      <c r="F37" t="s">
        <v>14</v>
      </c>
      <c r="G37" s="2">
        <f t="shared" si="1"/>
        <v>396226.95</v>
      </c>
      <c r="H37" s="1">
        <f t="shared" si="2"/>
        <v>154</v>
      </c>
    </row>
    <row r="38" spans="1:8">
      <c r="A38" s="1">
        <v>37</v>
      </c>
      <c r="B38" t="str">
        <f t="shared" si="0"/>
        <v>Metro Corridor Extension</v>
      </c>
      <c r="C38" t="s">
        <v>7</v>
      </c>
      <c r="D38" s="2">
        <v>247900</v>
      </c>
      <c r="E38">
        <v>198</v>
      </c>
      <c r="F38" t="s">
        <v>14</v>
      </c>
      <c r="G38" s="2">
        <f t="shared" si="1"/>
        <v>235505</v>
      </c>
      <c r="H38" s="1">
        <f t="shared" si="2"/>
        <v>228</v>
      </c>
    </row>
    <row r="39" spans="1:8">
      <c r="A39" s="1">
        <v>38</v>
      </c>
      <c r="B39" t="str">
        <f t="shared" si="0"/>
        <v>Smart Grid Substation</v>
      </c>
      <c r="C39" t="s">
        <v>4</v>
      </c>
      <c r="D39" s="2">
        <v>519474</v>
      </c>
      <c r="E39">
        <v>111</v>
      </c>
      <c r="F39" t="s">
        <v>14</v>
      </c>
      <c r="G39" s="2">
        <f t="shared" si="1"/>
        <v>493500.3</v>
      </c>
      <c r="H39" s="1">
        <f t="shared" si="2"/>
        <v>141</v>
      </c>
    </row>
    <row r="40" spans="1:8">
      <c r="A40" s="1">
        <v>39</v>
      </c>
      <c r="B40" t="str">
        <f t="shared" si="0"/>
        <v>Elevated Flyover Construction</v>
      </c>
      <c r="C40" t="s">
        <v>6</v>
      </c>
      <c r="D40" s="2">
        <v>779592</v>
      </c>
      <c r="E40">
        <v>197</v>
      </c>
      <c r="F40" t="s">
        <v>14</v>
      </c>
      <c r="G40" s="2">
        <f t="shared" si="1"/>
        <v>896530.8</v>
      </c>
      <c r="H40" s="1">
        <f t="shared" si="2"/>
        <v>227</v>
      </c>
    </row>
    <row r="41" spans="1:8">
      <c r="A41" s="1">
        <v>40</v>
      </c>
      <c r="B41" t="str">
        <f t="shared" si="0"/>
        <v>Solar Power Plant Setup</v>
      </c>
      <c r="C41" t="s">
        <v>8</v>
      </c>
      <c r="D41" s="2">
        <v>792040</v>
      </c>
      <c r="E41">
        <v>185</v>
      </c>
      <c r="F41" t="s">
        <v>14</v>
      </c>
      <c r="G41" s="2">
        <f t="shared" si="1"/>
        <v>752438</v>
      </c>
      <c r="H41" s="1">
        <f t="shared" si="2"/>
        <v>215</v>
      </c>
    </row>
    <row r="42" spans="1:8">
      <c r="A42" s="1">
        <v>41</v>
      </c>
      <c r="B42" t="str">
        <f t="shared" si="0"/>
        <v>Water Treatment Pipeline</v>
      </c>
      <c r="C42" t="s">
        <v>8</v>
      </c>
      <c r="D42" s="2">
        <v>815766</v>
      </c>
      <c r="E42">
        <v>202</v>
      </c>
      <c r="F42" t="s">
        <v>14</v>
      </c>
      <c r="G42" s="2">
        <f t="shared" si="1"/>
        <v>774977.7</v>
      </c>
      <c r="H42" s="1">
        <f t="shared" si="2"/>
        <v>232</v>
      </c>
    </row>
    <row r="43" spans="1:8">
      <c r="A43" s="1">
        <v>42</v>
      </c>
      <c r="B43" t="str">
        <f t="shared" si="0"/>
        <v>National Highway Expansion</v>
      </c>
      <c r="C43" t="s">
        <v>8</v>
      </c>
      <c r="D43" s="2">
        <v>373701</v>
      </c>
      <c r="E43">
        <v>193</v>
      </c>
      <c r="F43" t="s">
        <v>13</v>
      </c>
      <c r="G43" s="2">
        <f t="shared" si="1"/>
        <v>355015.95</v>
      </c>
      <c r="H43" s="1">
        <f t="shared" si="2"/>
        <v>195</v>
      </c>
    </row>
    <row r="44" spans="1:8">
      <c r="A44" s="1">
        <v>43</v>
      </c>
      <c r="B44" t="str">
        <f t="shared" si="0"/>
        <v>Metro Corridor Extension</v>
      </c>
      <c r="C44" t="s">
        <v>5</v>
      </c>
      <c r="D44" s="2">
        <v>290424</v>
      </c>
      <c r="E44">
        <v>147</v>
      </c>
      <c r="F44" t="s">
        <v>14</v>
      </c>
      <c r="G44" s="2">
        <f t="shared" si="1"/>
        <v>275902.8</v>
      </c>
      <c r="H44" s="1">
        <f t="shared" si="2"/>
        <v>177</v>
      </c>
    </row>
    <row r="45" spans="1:8">
      <c r="A45" s="1">
        <v>44</v>
      </c>
      <c r="B45" t="str">
        <f t="shared" si="0"/>
        <v>Smart Grid Substation</v>
      </c>
      <c r="C45" t="s">
        <v>7</v>
      </c>
      <c r="D45" s="2">
        <v>847133</v>
      </c>
      <c r="E45">
        <v>173</v>
      </c>
      <c r="F45" t="s">
        <v>13</v>
      </c>
      <c r="G45" s="2">
        <f t="shared" si="1"/>
        <v>804776.35</v>
      </c>
      <c r="H45" s="1">
        <f t="shared" si="2"/>
        <v>175</v>
      </c>
    </row>
    <row r="46" spans="1:8">
      <c r="A46" s="1">
        <v>45</v>
      </c>
      <c r="B46" t="str">
        <f t="shared" si="0"/>
        <v>Elevated Flyover Construction</v>
      </c>
      <c r="C46" t="s">
        <v>7</v>
      </c>
      <c r="D46" s="2">
        <v>139406</v>
      </c>
      <c r="E46">
        <v>230</v>
      </c>
      <c r="F46" t="s">
        <v>13</v>
      </c>
      <c r="G46" s="2">
        <f t="shared" si="1"/>
        <v>132435.7</v>
      </c>
      <c r="H46" s="1">
        <f t="shared" si="2"/>
        <v>232</v>
      </c>
    </row>
    <row r="47" spans="1:8">
      <c r="A47" s="1">
        <v>46</v>
      </c>
      <c r="B47" t="str">
        <f t="shared" si="0"/>
        <v>Solar Power Plant Setup</v>
      </c>
      <c r="C47" t="s">
        <v>6</v>
      </c>
      <c r="D47" s="2">
        <v>359093</v>
      </c>
      <c r="E47">
        <v>232</v>
      </c>
      <c r="F47" t="s">
        <v>13</v>
      </c>
      <c r="G47" s="2">
        <f t="shared" si="1"/>
        <v>412956.95</v>
      </c>
      <c r="H47" s="1">
        <f t="shared" si="2"/>
        <v>234</v>
      </c>
    </row>
    <row r="48" spans="1:8">
      <c r="A48" s="1">
        <v>47</v>
      </c>
      <c r="B48" t="str">
        <f t="shared" si="0"/>
        <v>Water Treatment Pipeline</v>
      </c>
      <c r="C48" t="s">
        <v>4</v>
      </c>
      <c r="D48" s="2">
        <v>709992</v>
      </c>
      <c r="E48">
        <v>116</v>
      </c>
      <c r="F48" t="s">
        <v>14</v>
      </c>
      <c r="G48" s="2">
        <f t="shared" si="1"/>
        <v>674492.4</v>
      </c>
      <c r="H48" s="1">
        <f t="shared" si="2"/>
        <v>146</v>
      </c>
    </row>
    <row r="49" spans="1:8">
      <c r="A49" s="1">
        <v>48</v>
      </c>
      <c r="B49" t="str">
        <f t="shared" si="0"/>
        <v>National Highway Expansion</v>
      </c>
      <c r="C49" t="s">
        <v>4</v>
      </c>
      <c r="D49" s="2">
        <v>119542</v>
      </c>
      <c r="E49">
        <v>180</v>
      </c>
      <c r="F49" t="s">
        <v>14</v>
      </c>
      <c r="G49" s="2">
        <f t="shared" si="1"/>
        <v>113564.9</v>
      </c>
      <c r="H49" s="1">
        <f t="shared" si="2"/>
        <v>210</v>
      </c>
    </row>
    <row r="50" spans="1:8">
      <c r="A50" s="1">
        <v>49</v>
      </c>
      <c r="B50" t="str">
        <f t="shared" si="0"/>
        <v>Metro Corridor Extension</v>
      </c>
      <c r="C50" t="s">
        <v>6</v>
      </c>
      <c r="D50" s="2">
        <v>659612</v>
      </c>
      <c r="E50">
        <v>232</v>
      </c>
      <c r="F50" t="s">
        <v>14</v>
      </c>
      <c r="G50" s="2">
        <f t="shared" si="1"/>
        <v>758553.8</v>
      </c>
      <c r="H50" s="1">
        <f t="shared" si="2"/>
        <v>262</v>
      </c>
    </row>
    <row r="51" spans="1:8">
      <c r="A51" s="1">
        <v>50</v>
      </c>
      <c r="B51" t="str">
        <f t="shared" si="0"/>
        <v>Smart Grid Substation</v>
      </c>
      <c r="C51" t="s">
        <v>7</v>
      </c>
      <c r="D51" s="2">
        <v>775809</v>
      </c>
      <c r="E51">
        <v>112</v>
      </c>
      <c r="F51" t="s">
        <v>14</v>
      </c>
      <c r="G51" s="2">
        <f t="shared" si="1"/>
        <v>737018.55</v>
      </c>
      <c r="H51" s="1">
        <f t="shared" si="2"/>
        <v>142</v>
      </c>
    </row>
    <row r="52" spans="1:8">
      <c r="A52" s="1">
        <v>51</v>
      </c>
      <c r="B52" t="str">
        <f t="shared" si="0"/>
        <v>Elevated Flyover Construction</v>
      </c>
      <c r="C52" t="s">
        <v>5</v>
      </c>
      <c r="D52" s="2">
        <v>735208</v>
      </c>
      <c r="E52">
        <v>122</v>
      </c>
      <c r="F52" t="s">
        <v>13</v>
      </c>
      <c r="G52" s="2">
        <f t="shared" si="1"/>
        <v>698447.6</v>
      </c>
      <c r="H52" s="1">
        <f t="shared" si="2"/>
        <v>124</v>
      </c>
    </row>
    <row r="53" spans="1:8">
      <c r="A53" s="1">
        <v>52</v>
      </c>
      <c r="B53" t="str">
        <f t="shared" si="0"/>
        <v>Solar Power Plant Setup</v>
      </c>
      <c r="C53" t="s">
        <v>4</v>
      </c>
      <c r="D53" s="2">
        <v>866738</v>
      </c>
      <c r="E53">
        <v>120</v>
      </c>
      <c r="F53" t="s">
        <v>14</v>
      </c>
      <c r="G53" s="2">
        <f t="shared" si="1"/>
        <v>823401.1</v>
      </c>
      <c r="H53" s="1">
        <f t="shared" si="2"/>
        <v>150</v>
      </c>
    </row>
    <row r="54" spans="1:8">
      <c r="A54" s="1">
        <v>53</v>
      </c>
      <c r="B54" t="str">
        <f t="shared" si="0"/>
        <v>Water Treatment Pipeline</v>
      </c>
      <c r="C54" t="s">
        <v>7</v>
      </c>
      <c r="D54" s="2">
        <v>639600</v>
      </c>
      <c r="E54">
        <v>120</v>
      </c>
      <c r="F54" t="s">
        <v>13</v>
      </c>
      <c r="G54" s="2">
        <f t="shared" si="1"/>
        <v>607620</v>
      </c>
      <c r="H54" s="1">
        <f t="shared" si="2"/>
        <v>122</v>
      </c>
    </row>
    <row r="55" spans="1:8">
      <c r="A55" s="1">
        <v>54</v>
      </c>
      <c r="B55" t="str">
        <f t="shared" si="0"/>
        <v>National Highway Expansion</v>
      </c>
      <c r="C55" t="s">
        <v>4</v>
      </c>
      <c r="D55" s="2">
        <v>633587</v>
      </c>
      <c r="E55">
        <v>170</v>
      </c>
      <c r="F55" t="s">
        <v>13</v>
      </c>
      <c r="G55" s="2">
        <f t="shared" si="1"/>
        <v>601907.65</v>
      </c>
      <c r="H55" s="1">
        <f t="shared" si="2"/>
        <v>172</v>
      </c>
    </row>
    <row r="56" spans="1:8">
      <c r="A56" s="1">
        <v>55</v>
      </c>
      <c r="B56" t="str">
        <f t="shared" si="0"/>
        <v>Metro Corridor Extension</v>
      </c>
      <c r="C56" t="s">
        <v>4</v>
      </c>
      <c r="D56" s="2">
        <v>100466</v>
      </c>
      <c r="E56">
        <v>237</v>
      </c>
      <c r="F56" t="s">
        <v>13</v>
      </c>
      <c r="G56" s="2">
        <f t="shared" si="1"/>
        <v>95442.7</v>
      </c>
      <c r="H56" s="1">
        <f t="shared" si="2"/>
        <v>239</v>
      </c>
    </row>
    <row r="57" spans="1:8">
      <c r="A57" s="1">
        <v>56</v>
      </c>
      <c r="B57" t="str">
        <f t="shared" si="0"/>
        <v>Smart Grid Substation</v>
      </c>
      <c r="C57" t="s">
        <v>4</v>
      </c>
      <c r="D57" s="2">
        <v>230650</v>
      </c>
      <c r="E57">
        <v>100</v>
      </c>
      <c r="F57" t="s">
        <v>13</v>
      </c>
      <c r="G57" s="2">
        <f t="shared" si="1"/>
        <v>219117.5</v>
      </c>
      <c r="H57" s="1">
        <f t="shared" si="2"/>
        <v>102</v>
      </c>
    </row>
    <row r="58" spans="1:8">
      <c r="A58" s="1">
        <v>57</v>
      </c>
      <c r="B58" t="str">
        <f t="shared" si="0"/>
        <v>Elevated Flyover Construction</v>
      </c>
      <c r="C58" t="s">
        <v>8</v>
      </c>
      <c r="D58" s="2">
        <v>683939</v>
      </c>
      <c r="E58">
        <v>236</v>
      </c>
      <c r="F58" t="s">
        <v>13</v>
      </c>
      <c r="G58" s="2">
        <f t="shared" si="1"/>
        <v>649742.05</v>
      </c>
      <c r="H58" s="1">
        <f t="shared" si="2"/>
        <v>238</v>
      </c>
    </row>
    <row r="59" spans="1:8">
      <c r="A59" s="1">
        <v>58</v>
      </c>
      <c r="B59" t="str">
        <f t="shared" si="0"/>
        <v>Solar Power Plant Setup</v>
      </c>
      <c r="C59" t="s">
        <v>6</v>
      </c>
      <c r="D59" s="2">
        <v>581297</v>
      </c>
      <c r="E59">
        <v>160</v>
      </c>
      <c r="F59" t="s">
        <v>14</v>
      </c>
      <c r="G59" s="2">
        <f t="shared" si="1"/>
        <v>668491.55</v>
      </c>
      <c r="H59" s="1">
        <f t="shared" si="2"/>
        <v>190</v>
      </c>
    </row>
    <row r="60" spans="1:8">
      <c r="A60" s="1">
        <v>59</v>
      </c>
      <c r="B60" t="str">
        <f t="shared" si="0"/>
        <v>Water Treatment Pipeline</v>
      </c>
      <c r="C60" t="s">
        <v>8</v>
      </c>
      <c r="D60" s="2">
        <v>746284</v>
      </c>
      <c r="E60">
        <v>115</v>
      </c>
      <c r="F60" t="s">
        <v>13</v>
      </c>
      <c r="G60" s="2">
        <f t="shared" si="1"/>
        <v>708969.8</v>
      </c>
      <c r="H60" s="1">
        <f t="shared" si="2"/>
        <v>117</v>
      </c>
    </row>
    <row r="61" spans="1:8">
      <c r="A61" s="1">
        <v>60</v>
      </c>
      <c r="B61" t="str">
        <f t="shared" si="0"/>
        <v>National Highway Expansion</v>
      </c>
      <c r="C61" t="s">
        <v>6</v>
      </c>
      <c r="D61" s="2">
        <v>490526</v>
      </c>
      <c r="E61">
        <v>239</v>
      </c>
      <c r="F61" t="s">
        <v>13</v>
      </c>
      <c r="G61" s="2">
        <f t="shared" si="1"/>
        <v>564104.9</v>
      </c>
      <c r="H61" s="1">
        <f t="shared" si="2"/>
        <v>241</v>
      </c>
    </row>
    <row r="62" spans="1:8">
      <c r="A62" s="1">
        <v>61</v>
      </c>
      <c r="B62" t="str">
        <f t="shared" si="0"/>
        <v>Metro Corridor Extension</v>
      </c>
      <c r="C62" t="s">
        <v>8</v>
      </c>
      <c r="D62" s="2">
        <v>596073</v>
      </c>
      <c r="E62">
        <v>91</v>
      </c>
      <c r="F62" t="s">
        <v>14</v>
      </c>
      <c r="G62" s="2">
        <f t="shared" si="1"/>
        <v>566269.35</v>
      </c>
      <c r="H62" s="1">
        <f t="shared" si="2"/>
        <v>121</v>
      </c>
    </row>
    <row r="63" spans="1:8">
      <c r="A63" s="1">
        <v>62</v>
      </c>
      <c r="B63" t="str">
        <f t="shared" si="0"/>
        <v>Smart Grid Substation</v>
      </c>
      <c r="C63" t="s">
        <v>6</v>
      </c>
      <c r="D63" s="2">
        <v>327081</v>
      </c>
      <c r="E63">
        <v>155</v>
      </c>
      <c r="F63" t="s">
        <v>13</v>
      </c>
      <c r="G63" s="2">
        <f t="shared" si="1"/>
        <v>376143.15</v>
      </c>
      <c r="H63" s="1">
        <f t="shared" si="2"/>
        <v>157</v>
      </c>
    </row>
    <row r="64" spans="1:8">
      <c r="A64" s="1">
        <v>63</v>
      </c>
      <c r="B64" t="str">
        <f t="shared" si="0"/>
        <v>Elevated Flyover Construction</v>
      </c>
      <c r="C64" t="s">
        <v>6</v>
      </c>
      <c r="D64" s="2">
        <v>214582</v>
      </c>
      <c r="E64">
        <v>107</v>
      </c>
      <c r="F64" t="s">
        <v>13</v>
      </c>
      <c r="G64" s="2">
        <f t="shared" si="1"/>
        <v>246769.3</v>
      </c>
      <c r="H64" s="1">
        <f t="shared" si="2"/>
        <v>109</v>
      </c>
    </row>
    <row r="65" spans="1:8">
      <c r="A65" s="1">
        <v>64</v>
      </c>
      <c r="B65" t="str">
        <f t="shared" si="0"/>
        <v>Solar Power Plant Setup</v>
      </c>
      <c r="C65" t="s">
        <v>6</v>
      </c>
      <c r="D65" s="2">
        <v>763337</v>
      </c>
      <c r="E65">
        <v>91</v>
      </c>
      <c r="F65" t="s">
        <v>13</v>
      </c>
      <c r="G65" s="2">
        <f t="shared" si="1"/>
        <v>877837.55</v>
      </c>
      <c r="H65" s="1">
        <f t="shared" si="2"/>
        <v>93</v>
      </c>
    </row>
    <row r="66" spans="1:8">
      <c r="A66" s="1">
        <v>65</v>
      </c>
      <c r="B66" t="str">
        <f t="shared" si="0"/>
        <v>Water Treatment Pipeline</v>
      </c>
      <c r="C66" t="s">
        <v>7</v>
      </c>
      <c r="D66" s="2">
        <v>702066</v>
      </c>
      <c r="E66">
        <v>174</v>
      </c>
      <c r="F66" t="s">
        <v>14</v>
      </c>
      <c r="G66" s="2">
        <f t="shared" ref="G66:G129" si="3">IF(C66="North",D66*1.15,D66*0.95)</f>
        <v>666962.7</v>
      </c>
      <c r="H66" s="1">
        <f t="shared" ref="H66:H129" si="4">IF(F66="Yes",E66+30,E66+2)</f>
        <v>204</v>
      </c>
    </row>
    <row r="67" spans="1:8">
      <c r="A67" s="1">
        <v>66</v>
      </c>
      <c r="B67" t="str">
        <f t="shared" ref="B67:B130" si="5">VLOOKUP(MOD(A67,6),$L$4:$M$9,2,FALSE)</f>
        <v>National Highway Expansion</v>
      </c>
      <c r="C67" t="s">
        <v>8</v>
      </c>
      <c r="D67" s="2">
        <v>700082</v>
      </c>
      <c r="E67">
        <v>215</v>
      </c>
      <c r="F67" t="s">
        <v>14</v>
      </c>
      <c r="G67" s="2">
        <f t="shared" si="3"/>
        <v>665077.9</v>
      </c>
      <c r="H67" s="1">
        <f t="shared" si="4"/>
        <v>245</v>
      </c>
    </row>
    <row r="68" spans="1:8">
      <c r="A68" s="1">
        <v>67</v>
      </c>
      <c r="B68" t="str">
        <f t="shared" si="5"/>
        <v>Metro Corridor Extension</v>
      </c>
      <c r="C68" t="s">
        <v>5</v>
      </c>
      <c r="D68" s="2">
        <v>111600</v>
      </c>
      <c r="E68">
        <v>225</v>
      </c>
      <c r="F68" t="s">
        <v>13</v>
      </c>
      <c r="G68" s="2">
        <f t="shared" si="3"/>
        <v>106020</v>
      </c>
      <c r="H68" s="1">
        <f t="shared" si="4"/>
        <v>227</v>
      </c>
    </row>
    <row r="69" spans="1:8">
      <c r="A69" s="1">
        <v>68</v>
      </c>
      <c r="B69" t="str">
        <f t="shared" si="5"/>
        <v>Smart Grid Substation</v>
      </c>
      <c r="C69" t="s">
        <v>6</v>
      </c>
      <c r="D69" s="2">
        <v>274124</v>
      </c>
      <c r="E69">
        <v>192</v>
      </c>
      <c r="F69" t="s">
        <v>14</v>
      </c>
      <c r="G69" s="2">
        <f t="shared" si="3"/>
        <v>315242.6</v>
      </c>
      <c r="H69" s="1">
        <f t="shared" si="4"/>
        <v>222</v>
      </c>
    </row>
    <row r="70" spans="1:8">
      <c r="A70" s="1">
        <v>69</v>
      </c>
      <c r="B70" t="str">
        <f t="shared" si="5"/>
        <v>Elevated Flyover Construction</v>
      </c>
      <c r="C70" t="s">
        <v>8</v>
      </c>
      <c r="D70" s="2">
        <v>397683</v>
      </c>
      <c r="E70">
        <v>232</v>
      </c>
      <c r="F70" t="s">
        <v>14</v>
      </c>
      <c r="G70" s="2">
        <f t="shared" si="3"/>
        <v>377798.85</v>
      </c>
      <c r="H70" s="1">
        <f t="shared" si="4"/>
        <v>262</v>
      </c>
    </row>
    <row r="71" spans="1:8">
      <c r="A71" s="1">
        <v>70</v>
      </c>
      <c r="B71" t="str">
        <f t="shared" si="5"/>
        <v>Solar Power Plant Setup</v>
      </c>
      <c r="C71" t="s">
        <v>7</v>
      </c>
      <c r="D71" s="2">
        <v>681050</v>
      </c>
      <c r="E71">
        <v>116</v>
      </c>
      <c r="F71" t="s">
        <v>14</v>
      </c>
      <c r="G71" s="2">
        <f t="shared" si="3"/>
        <v>646997.5</v>
      </c>
      <c r="H71" s="1">
        <f t="shared" si="4"/>
        <v>146</v>
      </c>
    </row>
    <row r="72" spans="1:8">
      <c r="A72" s="1">
        <v>71</v>
      </c>
      <c r="B72" t="str">
        <f t="shared" si="5"/>
        <v>Water Treatment Pipeline</v>
      </c>
      <c r="C72" t="s">
        <v>6</v>
      </c>
      <c r="D72" s="2">
        <v>639369</v>
      </c>
      <c r="E72">
        <v>122</v>
      </c>
      <c r="F72" t="s">
        <v>13</v>
      </c>
      <c r="G72" s="2">
        <f t="shared" si="3"/>
        <v>735274.35</v>
      </c>
      <c r="H72" s="1">
        <f t="shared" si="4"/>
        <v>124</v>
      </c>
    </row>
    <row r="73" spans="1:8">
      <c r="A73" s="1">
        <v>72</v>
      </c>
      <c r="B73" t="str">
        <f t="shared" si="5"/>
        <v>National Highway Expansion</v>
      </c>
      <c r="C73" t="s">
        <v>8</v>
      </c>
      <c r="D73" s="2">
        <v>849869</v>
      </c>
      <c r="E73">
        <v>232</v>
      </c>
      <c r="F73" t="s">
        <v>14</v>
      </c>
      <c r="G73" s="2">
        <f t="shared" si="3"/>
        <v>807375.55</v>
      </c>
      <c r="H73" s="1">
        <f t="shared" si="4"/>
        <v>262</v>
      </c>
    </row>
    <row r="74" spans="1:8">
      <c r="A74" s="1">
        <v>73</v>
      </c>
      <c r="B74" t="str">
        <f t="shared" si="5"/>
        <v>Metro Corridor Extension</v>
      </c>
      <c r="C74" t="s">
        <v>4</v>
      </c>
      <c r="D74" s="2">
        <v>484059</v>
      </c>
      <c r="E74">
        <v>112</v>
      </c>
      <c r="F74" t="s">
        <v>14</v>
      </c>
      <c r="G74" s="2">
        <f t="shared" si="3"/>
        <v>459856.05</v>
      </c>
      <c r="H74" s="1">
        <f t="shared" si="4"/>
        <v>142</v>
      </c>
    </row>
    <row r="75" spans="1:8">
      <c r="A75" s="1">
        <v>74</v>
      </c>
      <c r="B75" t="str">
        <f t="shared" si="5"/>
        <v>Smart Grid Substation</v>
      </c>
      <c r="C75" t="s">
        <v>7</v>
      </c>
      <c r="D75" s="2">
        <v>392209</v>
      </c>
      <c r="E75">
        <v>232</v>
      </c>
      <c r="F75" t="s">
        <v>13</v>
      </c>
      <c r="G75" s="2">
        <f t="shared" si="3"/>
        <v>372598.55</v>
      </c>
      <c r="H75" s="1">
        <f t="shared" si="4"/>
        <v>234</v>
      </c>
    </row>
    <row r="76" spans="1:8">
      <c r="A76" s="1">
        <v>75</v>
      </c>
      <c r="B76" t="str">
        <f t="shared" si="5"/>
        <v>Elevated Flyover Construction</v>
      </c>
      <c r="C76" t="s">
        <v>8</v>
      </c>
      <c r="D76" s="2">
        <v>280757</v>
      </c>
      <c r="E76">
        <v>145</v>
      </c>
      <c r="F76" t="s">
        <v>14</v>
      </c>
      <c r="G76" s="2">
        <f t="shared" si="3"/>
        <v>266719.15</v>
      </c>
      <c r="H76" s="1">
        <f t="shared" si="4"/>
        <v>175</v>
      </c>
    </row>
    <row r="77" spans="1:8">
      <c r="A77" s="1">
        <v>76</v>
      </c>
      <c r="B77" t="str">
        <f t="shared" si="5"/>
        <v>Solar Power Plant Setup</v>
      </c>
      <c r="C77" t="s">
        <v>4</v>
      </c>
      <c r="D77" s="2">
        <v>475039</v>
      </c>
      <c r="E77">
        <v>200</v>
      </c>
      <c r="F77" t="s">
        <v>13</v>
      </c>
      <c r="G77" s="2">
        <f t="shared" si="3"/>
        <v>451287.05</v>
      </c>
      <c r="H77" s="1">
        <f t="shared" si="4"/>
        <v>202</v>
      </c>
    </row>
    <row r="78" spans="1:8">
      <c r="A78" s="1">
        <v>77</v>
      </c>
      <c r="B78" t="str">
        <f t="shared" si="5"/>
        <v>Water Treatment Pipeline</v>
      </c>
      <c r="C78" t="s">
        <v>5</v>
      </c>
      <c r="D78" s="2">
        <v>530388</v>
      </c>
      <c r="E78">
        <v>106</v>
      </c>
      <c r="F78" t="s">
        <v>13</v>
      </c>
      <c r="G78" s="2">
        <f t="shared" si="3"/>
        <v>503868.6</v>
      </c>
      <c r="H78" s="1">
        <f t="shared" si="4"/>
        <v>108</v>
      </c>
    </row>
    <row r="79" spans="1:8">
      <c r="A79" s="1">
        <v>78</v>
      </c>
      <c r="B79" t="str">
        <f t="shared" si="5"/>
        <v>National Highway Expansion</v>
      </c>
      <c r="C79" t="s">
        <v>8</v>
      </c>
      <c r="D79" s="2">
        <v>202519</v>
      </c>
      <c r="E79">
        <v>185</v>
      </c>
      <c r="F79" t="s">
        <v>13</v>
      </c>
      <c r="G79" s="2">
        <f t="shared" si="3"/>
        <v>192393.05</v>
      </c>
      <c r="H79" s="1">
        <f t="shared" si="4"/>
        <v>187</v>
      </c>
    </row>
    <row r="80" spans="1:8">
      <c r="A80" s="1">
        <v>79</v>
      </c>
      <c r="B80" t="str">
        <f t="shared" si="5"/>
        <v>Metro Corridor Extension</v>
      </c>
      <c r="C80" t="s">
        <v>4</v>
      </c>
      <c r="D80" s="2">
        <v>870481</v>
      </c>
      <c r="E80">
        <v>196</v>
      </c>
      <c r="F80" t="s">
        <v>14</v>
      </c>
      <c r="G80" s="2">
        <f t="shared" si="3"/>
        <v>826956.95</v>
      </c>
      <c r="H80" s="1">
        <f t="shared" si="4"/>
        <v>226</v>
      </c>
    </row>
    <row r="81" spans="1:8">
      <c r="A81" s="1">
        <v>80</v>
      </c>
      <c r="B81" t="str">
        <f t="shared" si="5"/>
        <v>Smart Grid Substation</v>
      </c>
      <c r="C81" t="s">
        <v>7</v>
      </c>
      <c r="D81" s="2">
        <v>392726</v>
      </c>
      <c r="E81">
        <v>111</v>
      </c>
      <c r="F81" t="s">
        <v>13</v>
      </c>
      <c r="G81" s="2">
        <f t="shared" si="3"/>
        <v>373089.7</v>
      </c>
      <c r="H81" s="1">
        <f t="shared" si="4"/>
        <v>113</v>
      </c>
    </row>
    <row r="82" spans="1:8">
      <c r="A82" s="1">
        <v>81</v>
      </c>
      <c r="B82" t="str">
        <f t="shared" si="5"/>
        <v>Elevated Flyover Construction</v>
      </c>
      <c r="C82" t="s">
        <v>8</v>
      </c>
      <c r="D82" s="2">
        <v>434230</v>
      </c>
      <c r="E82">
        <v>232</v>
      </c>
      <c r="F82" t="s">
        <v>13</v>
      </c>
      <c r="G82" s="2">
        <f t="shared" si="3"/>
        <v>412518.5</v>
      </c>
      <c r="H82" s="1">
        <f t="shared" si="4"/>
        <v>234</v>
      </c>
    </row>
    <row r="83" spans="1:8">
      <c r="A83" s="1">
        <v>82</v>
      </c>
      <c r="B83" t="str">
        <f t="shared" si="5"/>
        <v>Solar Power Plant Setup</v>
      </c>
      <c r="C83" t="s">
        <v>6</v>
      </c>
      <c r="D83" s="2">
        <v>880936</v>
      </c>
      <c r="E83">
        <v>237</v>
      </c>
      <c r="F83" t="s">
        <v>14</v>
      </c>
      <c r="G83" s="2">
        <f t="shared" si="3"/>
        <v>1013076.4</v>
      </c>
      <c r="H83" s="1">
        <f t="shared" si="4"/>
        <v>267</v>
      </c>
    </row>
    <row r="84" spans="1:8">
      <c r="A84" s="1">
        <v>83</v>
      </c>
      <c r="B84" t="str">
        <f t="shared" si="5"/>
        <v>Water Treatment Pipeline</v>
      </c>
      <c r="C84" t="s">
        <v>8</v>
      </c>
      <c r="D84" s="2">
        <v>268097</v>
      </c>
      <c r="E84">
        <v>156</v>
      </c>
      <c r="F84" t="s">
        <v>13</v>
      </c>
      <c r="G84" s="2">
        <f t="shared" si="3"/>
        <v>254692.15</v>
      </c>
      <c r="H84" s="1">
        <f t="shared" si="4"/>
        <v>158</v>
      </c>
    </row>
    <row r="85" spans="1:8">
      <c r="A85" s="1">
        <v>84</v>
      </c>
      <c r="B85" t="str">
        <f t="shared" si="5"/>
        <v>National Highway Expansion</v>
      </c>
      <c r="C85" t="s">
        <v>6</v>
      </c>
      <c r="D85" s="2">
        <v>258092</v>
      </c>
      <c r="E85">
        <v>233</v>
      </c>
      <c r="F85" t="s">
        <v>13</v>
      </c>
      <c r="G85" s="2">
        <f t="shared" si="3"/>
        <v>296805.8</v>
      </c>
      <c r="H85" s="1">
        <f t="shared" si="4"/>
        <v>235</v>
      </c>
    </row>
    <row r="86" spans="1:8">
      <c r="A86" s="1">
        <v>85</v>
      </c>
      <c r="B86" t="str">
        <f t="shared" si="5"/>
        <v>Metro Corridor Extension</v>
      </c>
      <c r="C86" t="s">
        <v>4</v>
      </c>
      <c r="D86" s="2">
        <v>113173</v>
      </c>
      <c r="E86">
        <v>204</v>
      </c>
      <c r="F86" t="s">
        <v>14</v>
      </c>
      <c r="G86" s="2">
        <f t="shared" si="3"/>
        <v>107514.35</v>
      </c>
      <c r="H86" s="1">
        <f t="shared" si="4"/>
        <v>234</v>
      </c>
    </row>
    <row r="87" spans="1:8">
      <c r="A87" s="1">
        <v>86</v>
      </c>
      <c r="B87" t="str">
        <f t="shared" si="5"/>
        <v>Smart Grid Substation</v>
      </c>
      <c r="C87" t="s">
        <v>4</v>
      </c>
      <c r="D87" s="2">
        <v>235615</v>
      </c>
      <c r="E87">
        <v>139</v>
      </c>
      <c r="F87" t="s">
        <v>14</v>
      </c>
      <c r="G87" s="2">
        <f t="shared" si="3"/>
        <v>223834.25</v>
      </c>
      <c r="H87" s="1">
        <f t="shared" si="4"/>
        <v>169</v>
      </c>
    </row>
    <row r="88" spans="1:8">
      <c r="A88" s="1">
        <v>87</v>
      </c>
      <c r="B88" t="str">
        <f t="shared" si="5"/>
        <v>Elevated Flyover Construction</v>
      </c>
      <c r="C88" t="s">
        <v>6</v>
      </c>
      <c r="D88" s="2">
        <v>740903</v>
      </c>
      <c r="E88">
        <v>232</v>
      </c>
      <c r="F88" t="s">
        <v>13</v>
      </c>
      <c r="G88" s="2">
        <f t="shared" si="3"/>
        <v>852038.45</v>
      </c>
      <c r="H88" s="1">
        <f t="shared" si="4"/>
        <v>234</v>
      </c>
    </row>
    <row r="89" spans="1:8">
      <c r="A89" s="1">
        <v>88</v>
      </c>
      <c r="B89" t="str">
        <f t="shared" si="5"/>
        <v>Solar Power Plant Setup</v>
      </c>
      <c r="C89" t="s">
        <v>7</v>
      </c>
      <c r="D89" s="2">
        <v>501344</v>
      </c>
      <c r="E89">
        <v>211</v>
      </c>
      <c r="F89" t="s">
        <v>13</v>
      </c>
      <c r="G89" s="2">
        <f t="shared" si="3"/>
        <v>476276.8</v>
      </c>
      <c r="H89" s="1">
        <f t="shared" si="4"/>
        <v>213</v>
      </c>
    </row>
    <row r="90" spans="1:8">
      <c r="A90" s="1">
        <v>89</v>
      </c>
      <c r="B90" t="str">
        <f t="shared" si="5"/>
        <v>Water Treatment Pipeline</v>
      </c>
      <c r="C90" t="s">
        <v>7</v>
      </c>
      <c r="D90" s="2">
        <v>722839</v>
      </c>
      <c r="E90">
        <v>123</v>
      </c>
      <c r="F90" t="s">
        <v>13</v>
      </c>
      <c r="G90" s="2">
        <f t="shared" si="3"/>
        <v>686697.05</v>
      </c>
      <c r="H90" s="1">
        <f t="shared" si="4"/>
        <v>125</v>
      </c>
    </row>
    <row r="91" spans="1:8">
      <c r="A91" s="1">
        <v>90</v>
      </c>
      <c r="B91" t="str">
        <f t="shared" si="5"/>
        <v>National Highway Expansion</v>
      </c>
      <c r="C91" t="s">
        <v>4</v>
      </c>
      <c r="D91" s="2">
        <v>282593</v>
      </c>
      <c r="E91">
        <v>225</v>
      </c>
      <c r="F91" t="s">
        <v>13</v>
      </c>
      <c r="G91" s="2">
        <f t="shared" si="3"/>
        <v>268463.35</v>
      </c>
      <c r="H91" s="1">
        <f t="shared" si="4"/>
        <v>227</v>
      </c>
    </row>
    <row r="92" spans="1:8">
      <c r="A92" s="1">
        <v>91</v>
      </c>
      <c r="B92" t="str">
        <f t="shared" si="5"/>
        <v>Metro Corridor Extension</v>
      </c>
      <c r="C92" t="s">
        <v>7</v>
      </c>
      <c r="D92" s="2">
        <v>314224</v>
      </c>
      <c r="E92">
        <v>229</v>
      </c>
      <c r="F92" t="s">
        <v>13</v>
      </c>
      <c r="G92" s="2">
        <f t="shared" si="3"/>
        <v>298512.8</v>
      </c>
      <c r="H92" s="1">
        <f t="shared" si="4"/>
        <v>231</v>
      </c>
    </row>
    <row r="93" spans="1:8">
      <c r="A93" s="1">
        <v>92</v>
      </c>
      <c r="B93" t="str">
        <f t="shared" si="5"/>
        <v>Smart Grid Substation</v>
      </c>
      <c r="C93" t="s">
        <v>6</v>
      </c>
      <c r="D93" s="2">
        <v>436137</v>
      </c>
      <c r="E93">
        <v>107</v>
      </c>
      <c r="F93" t="s">
        <v>14</v>
      </c>
      <c r="G93" s="2">
        <f t="shared" si="3"/>
        <v>501557.55</v>
      </c>
      <c r="H93" s="1">
        <f t="shared" si="4"/>
        <v>137</v>
      </c>
    </row>
    <row r="94" spans="1:8">
      <c r="A94" s="1">
        <v>93</v>
      </c>
      <c r="B94" t="str">
        <f t="shared" si="5"/>
        <v>Elevated Flyover Construction</v>
      </c>
      <c r="C94" t="s">
        <v>6</v>
      </c>
      <c r="D94" s="2">
        <v>211515</v>
      </c>
      <c r="E94">
        <v>178</v>
      </c>
      <c r="F94" t="s">
        <v>13</v>
      </c>
      <c r="G94" s="2">
        <f t="shared" si="3"/>
        <v>243242.25</v>
      </c>
      <c r="H94" s="1">
        <f t="shared" si="4"/>
        <v>180</v>
      </c>
    </row>
    <row r="95" spans="1:8">
      <c r="A95" s="1">
        <v>94</v>
      </c>
      <c r="B95" t="str">
        <f t="shared" si="5"/>
        <v>Solar Power Plant Setup</v>
      </c>
      <c r="C95" t="s">
        <v>8</v>
      </c>
      <c r="D95" s="2">
        <v>761583</v>
      </c>
      <c r="E95">
        <v>180</v>
      </c>
      <c r="F95" t="s">
        <v>14</v>
      </c>
      <c r="G95" s="2">
        <f t="shared" si="3"/>
        <v>723503.85</v>
      </c>
      <c r="H95" s="1">
        <f t="shared" si="4"/>
        <v>210</v>
      </c>
    </row>
    <row r="96" spans="1:8">
      <c r="A96" s="1">
        <v>95</v>
      </c>
      <c r="B96" t="str">
        <f t="shared" si="5"/>
        <v>Water Treatment Pipeline</v>
      </c>
      <c r="C96" t="s">
        <v>8</v>
      </c>
      <c r="D96" s="2">
        <v>523090</v>
      </c>
      <c r="E96">
        <v>155</v>
      </c>
      <c r="F96" t="s">
        <v>14</v>
      </c>
      <c r="G96" s="2">
        <f t="shared" si="3"/>
        <v>496935.5</v>
      </c>
      <c r="H96" s="1">
        <f t="shared" si="4"/>
        <v>185</v>
      </c>
    </row>
    <row r="97" spans="1:8">
      <c r="A97" s="1">
        <v>96</v>
      </c>
      <c r="B97" t="str">
        <f t="shared" si="5"/>
        <v>National Highway Expansion</v>
      </c>
      <c r="C97" t="s">
        <v>4</v>
      </c>
      <c r="D97" s="2">
        <v>884073</v>
      </c>
      <c r="E97">
        <v>179</v>
      </c>
      <c r="F97" t="s">
        <v>13</v>
      </c>
      <c r="G97" s="2">
        <f t="shared" si="3"/>
        <v>839869.35</v>
      </c>
      <c r="H97" s="1">
        <f t="shared" si="4"/>
        <v>181</v>
      </c>
    </row>
    <row r="98" spans="1:8">
      <c r="A98" s="1">
        <v>97</v>
      </c>
      <c r="B98" t="str">
        <f t="shared" si="5"/>
        <v>Metro Corridor Extension</v>
      </c>
      <c r="C98" t="s">
        <v>4</v>
      </c>
      <c r="D98" s="2">
        <v>591724</v>
      </c>
      <c r="E98">
        <v>169</v>
      </c>
      <c r="F98" t="s">
        <v>13</v>
      </c>
      <c r="G98" s="2">
        <f t="shared" si="3"/>
        <v>562137.8</v>
      </c>
      <c r="H98" s="1">
        <f t="shared" si="4"/>
        <v>171</v>
      </c>
    </row>
    <row r="99" spans="1:8">
      <c r="A99" s="1">
        <v>98</v>
      </c>
      <c r="B99" t="str">
        <f t="shared" si="5"/>
        <v>Smart Grid Substation</v>
      </c>
      <c r="C99" t="s">
        <v>6</v>
      </c>
      <c r="D99" s="2">
        <v>760017</v>
      </c>
      <c r="E99">
        <v>125</v>
      </c>
      <c r="F99" t="s">
        <v>14</v>
      </c>
      <c r="G99" s="2">
        <f t="shared" si="3"/>
        <v>874019.55</v>
      </c>
      <c r="H99" s="1">
        <f t="shared" si="4"/>
        <v>155</v>
      </c>
    </row>
    <row r="100" spans="1:8">
      <c r="A100" s="1">
        <v>99</v>
      </c>
      <c r="B100" t="str">
        <f t="shared" si="5"/>
        <v>Elevated Flyover Construction</v>
      </c>
      <c r="C100" t="s">
        <v>7</v>
      </c>
      <c r="D100" s="2">
        <v>297115</v>
      </c>
      <c r="E100">
        <v>92</v>
      </c>
      <c r="F100" t="s">
        <v>13</v>
      </c>
      <c r="G100" s="2">
        <f t="shared" si="3"/>
        <v>282259.25</v>
      </c>
      <c r="H100" s="1">
        <f t="shared" si="4"/>
        <v>94</v>
      </c>
    </row>
    <row r="101" spans="1:8">
      <c r="A101" s="1">
        <v>100</v>
      </c>
      <c r="B101" t="str">
        <f t="shared" si="5"/>
        <v>Solar Power Plant Setup</v>
      </c>
      <c r="C101" t="s">
        <v>6</v>
      </c>
      <c r="D101" s="2">
        <v>327980</v>
      </c>
      <c r="E101">
        <v>213</v>
      </c>
      <c r="F101" t="s">
        <v>14</v>
      </c>
      <c r="G101" s="2">
        <f t="shared" si="3"/>
        <v>377177</v>
      </c>
      <c r="H101" s="1">
        <f t="shared" si="4"/>
        <v>243</v>
      </c>
    </row>
    <row r="102" spans="1:8">
      <c r="A102" s="1">
        <v>101</v>
      </c>
      <c r="B102" t="str">
        <f t="shared" si="5"/>
        <v>Water Treatment Pipeline</v>
      </c>
      <c r="C102" t="s">
        <v>8</v>
      </c>
      <c r="D102" s="2">
        <v>376565</v>
      </c>
      <c r="E102">
        <v>223</v>
      </c>
      <c r="F102" t="s">
        <v>13</v>
      </c>
      <c r="G102" s="2">
        <f t="shared" si="3"/>
        <v>357736.75</v>
      </c>
      <c r="H102" s="1">
        <f t="shared" si="4"/>
        <v>225</v>
      </c>
    </row>
    <row r="103" spans="1:8">
      <c r="A103" s="1">
        <v>102</v>
      </c>
      <c r="B103" t="str">
        <f t="shared" si="5"/>
        <v>National Highway Expansion</v>
      </c>
      <c r="C103" t="s">
        <v>4</v>
      </c>
      <c r="D103" s="2">
        <v>718430</v>
      </c>
      <c r="E103">
        <v>184</v>
      </c>
      <c r="F103" t="s">
        <v>14</v>
      </c>
      <c r="G103" s="2">
        <f t="shared" si="3"/>
        <v>682508.5</v>
      </c>
      <c r="H103" s="1">
        <f t="shared" si="4"/>
        <v>214</v>
      </c>
    </row>
    <row r="104" spans="1:8">
      <c r="A104" s="1">
        <v>103</v>
      </c>
      <c r="B104" t="str">
        <f t="shared" si="5"/>
        <v>Metro Corridor Extension</v>
      </c>
      <c r="C104" t="s">
        <v>4</v>
      </c>
      <c r="D104" s="2">
        <v>519666</v>
      </c>
      <c r="E104">
        <v>97</v>
      </c>
      <c r="F104" t="s">
        <v>14</v>
      </c>
      <c r="G104" s="2">
        <f t="shared" si="3"/>
        <v>493682.7</v>
      </c>
      <c r="H104" s="1">
        <f t="shared" si="4"/>
        <v>127</v>
      </c>
    </row>
    <row r="105" spans="1:8">
      <c r="A105" s="1">
        <v>104</v>
      </c>
      <c r="B105" t="str">
        <f t="shared" si="5"/>
        <v>Smart Grid Substation</v>
      </c>
      <c r="C105" t="s">
        <v>4</v>
      </c>
      <c r="D105" s="2">
        <v>498800</v>
      </c>
      <c r="E105">
        <v>171</v>
      </c>
      <c r="F105" t="s">
        <v>14</v>
      </c>
      <c r="G105" s="2">
        <f t="shared" si="3"/>
        <v>473860</v>
      </c>
      <c r="H105" s="1">
        <f t="shared" si="4"/>
        <v>201</v>
      </c>
    </row>
    <row r="106" spans="1:8">
      <c r="A106" s="1">
        <v>105</v>
      </c>
      <c r="B106" t="str">
        <f t="shared" si="5"/>
        <v>Elevated Flyover Construction</v>
      </c>
      <c r="C106" t="s">
        <v>6</v>
      </c>
      <c r="D106" s="2">
        <v>299500</v>
      </c>
      <c r="E106">
        <v>125</v>
      </c>
      <c r="F106" t="s">
        <v>13</v>
      </c>
      <c r="G106" s="2">
        <f t="shared" si="3"/>
        <v>344425</v>
      </c>
      <c r="H106" s="1">
        <f t="shared" si="4"/>
        <v>127</v>
      </c>
    </row>
    <row r="107" spans="1:8">
      <c r="A107" s="1">
        <v>106</v>
      </c>
      <c r="B107" t="str">
        <f t="shared" si="5"/>
        <v>Solar Power Plant Setup</v>
      </c>
      <c r="C107" t="s">
        <v>8</v>
      </c>
      <c r="D107" s="2">
        <v>480140</v>
      </c>
      <c r="E107">
        <v>237</v>
      </c>
      <c r="F107" t="s">
        <v>13</v>
      </c>
      <c r="G107" s="2">
        <f t="shared" si="3"/>
        <v>456133</v>
      </c>
      <c r="H107" s="1">
        <f t="shared" si="4"/>
        <v>239</v>
      </c>
    </row>
    <row r="108" spans="1:8">
      <c r="A108" s="1">
        <v>107</v>
      </c>
      <c r="B108" t="str">
        <f t="shared" si="5"/>
        <v>Water Treatment Pipeline</v>
      </c>
      <c r="C108" t="s">
        <v>6</v>
      </c>
      <c r="D108" s="2">
        <v>846463</v>
      </c>
      <c r="E108">
        <v>166</v>
      </c>
      <c r="F108" t="s">
        <v>14</v>
      </c>
      <c r="G108" s="2">
        <f t="shared" si="3"/>
        <v>973432.45</v>
      </c>
      <c r="H108" s="1">
        <f t="shared" si="4"/>
        <v>196</v>
      </c>
    </row>
    <row r="109" spans="1:8">
      <c r="A109" s="1">
        <v>108</v>
      </c>
      <c r="B109" t="str">
        <f t="shared" si="5"/>
        <v>National Highway Expansion</v>
      </c>
      <c r="C109" t="s">
        <v>6</v>
      </c>
      <c r="D109" s="2">
        <v>560955</v>
      </c>
      <c r="E109">
        <v>206</v>
      </c>
      <c r="F109" t="s">
        <v>14</v>
      </c>
      <c r="G109" s="2">
        <f t="shared" si="3"/>
        <v>645098.25</v>
      </c>
      <c r="H109" s="1">
        <f t="shared" si="4"/>
        <v>236</v>
      </c>
    </row>
    <row r="110" spans="1:8">
      <c r="A110" s="1">
        <v>109</v>
      </c>
      <c r="B110" t="str">
        <f t="shared" si="5"/>
        <v>Metro Corridor Extension</v>
      </c>
      <c r="C110" t="s">
        <v>8</v>
      </c>
      <c r="D110" s="2">
        <v>170938</v>
      </c>
      <c r="E110">
        <v>240</v>
      </c>
      <c r="F110" t="s">
        <v>14</v>
      </c>
      <c r="G110" s="2">
        <f t="shared" si="3"/>
        <v>162391.1</v>
      </c>
      <c r="H110" s="1">
        <f t="shared" si="4"/>
        <v>270</v>
      </c>
    </row>
    <row r="111" spans="1:8">
      <c r="A111" s="1">
        <v>110</v>
      </c>
      <c r="B111" t="str">
        <f t="shared" si="5"/>
        <v>Smart Grid Substation</v>
      </c>
      <c r="C111" t="s">
        <v>7</v>
      </c>
      <c r="D111" s="2">
        <v>384681</v>
      </c>
      <c r="E111">
        <v>167</v>
      </c>
      <c r="F111" t="s">
        <v>14</v>
      </c>
      <c r="G111" s="2">
        <f t="shared" si="3"/>
        <v>365446.95</v>
      </c>
      <c r="H111" s="1">
        <f t="shared" si="4"/>
        <v>197</v>
      </c>
    </row>
    <row r="112" spans="1:8">
      <c r="A112" s="1">
        <v>111</v>
      </c>
      <c r="B112" t="str">
        <f t="shared" si="5"/>
        <v>Elevated Flyover Construction</v>
      </c>
      <c r="C112" t="s">
        <v>7</v>
      </c>
      <c r="D112" s="2">
        <v>539378</v>
      </c>
      <c r="E112">
        <v>148</v>
      </c>
      <c r="F112" t="s">
        <v>14</v>
      </c>
      <c r="G112" s="2">
        <f t="shared" si="3"/>
        <v>512409.1</v>
      </c>
      <c r="H112" s="1">
        <f t="shared" si="4"/>
        <v>178</v>
      </c>
    </row>
    <row r="113" spans="1:8">
      <c r="A113" s="1">
        <v>112</v>
      </c>
      <c r="B113" t="str">
        <f t="shared" si="5"/>
        <v>Solar Power Plant Setup</v>
      </c>
      <c r="C113" t="s">
        <v>8</v>
      </c>
      <c r="D113" s="2">
        <v>509897</v>
      </c>
      <c r="E113">
        <v>214</v>
      </c>
      <c r="F113" t="s">
        <v>14</v>
      </c>
      <c r="G113" s="2">
        <f t="shared" si="3"/>
        <v>484402.15</v>
      </c>
      <c r="H113" s="1">
        <f t="shared" si="4"/>
        <v>244</v>
      </c>
    </row>
    <row r="114" spans="1:8">
      <c r="A114" s="1">
        <v>113</v>
      </c>
      <c r="B114" t="str">
        <f t="shared" si="5"/>
        <v>Water Treatment Pipeline</v>
      </c>
      <c r="C114" t="s">
        <v>4</v>
      </c>
      <c r="D114" s="2">
        <v>457266</v>
      </c>
      <c r="E114">
        <v>90</v>
      </c>
      <c r="F114" t="s">
        <v>14</v>
      </c>
      <c r="G114" s="2">
        <f t="shared" si="3"/>
        <v>434402.7</v>
      </c>
      <c r="H114" s="1">
        <f t="shared" si="4"/>
        <v>120</v>
      </c>
    </row>
    <row r="115" spans="1:8">
      <c r="A115" s="1">
        <v>114</v>
      </c>
      <c r="B115" t="str">
        <f t="shared" si="5"/>
        <v>National Highway Expansion</v>
      </c>
      <c r="C115" t="s">
        <v>4</v>
      </c>
      <c r="D115" s="2">
        <v>596525</v>
      </c>
      <c r="E115">
        <v>147</v>
      </c>
      <c r="F115" t="s">
        <v>13</v>
      </c>
      <c r="G115" s="2">
        <f t="shared" si="3"/>
        <v>566698.75</v>
      </c>
      <c r="H115" s="1">
        <f t="shared" si="4"/>
        <v>149</v>
      </c>
    </row>
    <row r="116" spans="1:8">
      <c r="A116" s="1">
        <v>115</v>
      </c>
      <c r="B116" t="str">
        <f t="shared" si="5"/>
        <v>Metro Corridor Extension</v>
      </c>
      <c r="C116" t="s">
        <v>6</v>
      </c>
      <c r="D116" s="2">
        <v>776298</v>
      </c>
      <c r="E116">
        <v>230</v>
      </c>
      <c r="F116" t="s">
        <v>13</v>
      </c>
      <c r="G116" s="2">
        <f t="shared" si="3"/>
        <v>892742.7</v>
      </c>
      <c r="H116" s="1">
        <f t="shared" si="4"/>
        <v>232</v>
      </c>
    </row>
    <row r="117" spans="1:8">
      <c r="A117" s="1">
        <v>116</v>
      </c>
      <c r="B117" t="str">
        <f t="shared" si="5"/>
        <v>Smart Grid Substation</v>
      </c>
      <c r="C117" t="s">
        <v>8</v>
      </c>
      <c r="D117" s="2">
        <v>340108</v>
      </c>
      <c r="E117">
        <v>157</v>
      </c>
      <c r="F117" t="s">
        <v>13</v>
      </c>
      <c r="G117" s="2">
        <f t="shared" si="3"/>
        <v>323102.6</v>
      </c>
      <c r="H117" s="1">
        <f t="shared" si="4"/>
        <v>159</v>
      </c>
    </row>
    <row r="118" spans="1:8">
      <c r="A118" s="1">
        <v>117</v>
      </c>
      <c r="B118" t="str">
        <f t="shared" si="5"/>
        <v>Elevated Flyover Construction</v>
      </c>
      <c r="C118" t="s">
        <v>4</v>
      </c>
      <c r="D118" s="2">
        <v>283840</v>
      </c>
      <c r="E118">
        <v>126</v>
      </c>
      <c r="F118" t="s">
        <v>13</v>
      </c>
      <c r="G118" s="2">
        <f t="shared" si="3"/>
        <v>269648</v>
      </c>
      <c r="H118" s="1">
        <f t="shared" si="4"/>
        <v>128</v>
      </c>
    </row>
    <row r="119" spans="1:8">
      <c r="A119" s="1">
        <v>118</v>
      </c>
      <c r="B119" t="str">
        <f t="shared" si="5"/>
        <v>Solar Power Plant Setup</v>
      </c>
      <c r="C119" t="s">
        <v>5</v>
      </c>
      <c r="D119" s="2">
        <v>615062</v>
      </c>
      <c r="E119">
        <v>115</v>
      </c>
      <c r="F119" t="s">
        <v>13</v>
      </c>
      <c r="G119" s="2">
        <f t="shared" si="3"/>
        <v>584308.9</v>
      </c>
      <c r="H119" s="1">
        <f t="shared" si="4"/>
        <v>117</v>
      </c>
    </row>
    <row r="120" spans="1:8">
      <c r="A120" s="1">
        <v>119</v>
      </c>
      <c r="B120" t="str">
        <f t="shared" si="5"/>
        <v>Water Treatment Pipeline</v>
      </c>
      <c r="C120" t="s">
        <v>6</v>
      </c>
      <c r="D120" s="2">
        <v>251827</v>
      </c>
      <c r="E120">
        <v>93</v>
      </c>
      <c r="F120" t="s">
        <v>13</v>
      </c>
      <c r="G120" s="2">
        <f t="shared" si="3"/>
        <v>289601.05</v>
      </c>
      <c r="H120" s="1">
        <f t="shared" si="4"/>
        <v>95</v>
      </c>
    </row>
    <row r="121" spans="1:8">
      <c r="A121" s="1">
        <v>120</v>
      </c>
      <c r="B121" t="str">
        <f t="shared" si="5"/>
        <v>National Highway Expansion</v>
      </c>
      <c r="C121" t="s">
        <v>5</v>
      </c>
      <c r="D121" s="2">
        <v>401012</v>
      </c>
      <c r="E121">
        <v>127</v>
      </c>
      <c r="F121" t="s">
        <v>13</v>
      </c>
      <c r="G121" s="2">
        <f t="shared" si="3"/>
        <v>380961.4</v>
      </c>
      <c r="H121" s="1">
        <f t="shared" si="4"/>
        <v>129</v>
      </c>
    </row>
    <row r="122" spans="1:8">
      <c r="A122" s="1">
        <v>121</v>
      </c>
      <c r="B122" t="str">
        <f t="shared" si="5"/>
        <v>Metro Corridor Extension</v>
      </c>
      <c r="C122" t="s">
        <v>7</v>
      </c>
      <c r="D122" s="2">
        <v>839802</v>
      </c>
      <c r="E122">
        <v>153</v>
      </c>
      <c r="F122" t="s">
        <v>14</v>
      </c>
      <c r="G122" s="2">
        <f t="shared" si="3"/>
        <v>797811.9</v>
      </c>
      <c r="H122" s="1">
        <f t="shared" si="4"/>
        <v>183</v>
      </c>
    </row>
    <row r="123" spans="1:8">
      <c r="A123" s="1">
        <v>122</v>
      </c>
      <c r="B123" t="str">
        <f t="shared" si="5"/>
        <v>Smart Grid Substation</v>
      </c>
      <c r="C123" t="s">
        <v>8</v>
      </c>
      <c r="D123" s="2">
        <v>359046</v>
      </c>
      <c r="E123">
        <v>138</v>
      </c>
      <c r="F123" t="s">
        <v>14</v>
      </c>
      <c r="G123" s="2">
        <f t="shared" si="3"/>
        <v>341093.7</v>
      </c>
      <c r="H123" s="1">
        <f t="shared" si="4"/>
        <v>168</v>
      </c>
    </row>
    <row r="124" spans="1:8">
      <c r="A124" s="1">
        <v>123</v>
      </c>
      <c r="B124" t="str">
        <f t="shared" si="5"/>
        <v>Elevated Flyover Construction</v>
      </c>
      <c r="C124" t="s">
        <v>6</v>
      </c>
      <c r="D124" s="2">
        <v>515712</v>
      </c>
      <c r="E124">
        <v>105</v>
      </c>
      <c r="F124" t="s">
        <v>13</v>
      </c>
      <c r="G124" s="2">
        <f t="shared" si="3"/>
        <v>593068.8</v>
      </c>
      <c r="H124" s="1">
        <f t="shared" si="4"/>
        <v>107</v>
      </c>
    </row>
    <row r="125" spans="1:8">
      <c r="A125" s="1">
        <v>124</v>
      </c>
      <c r="B125" t="str">
        <f t="shared" si="5"/>
        <v>Solar Power Plant Setup</v>
      </c>
      <c r="C125" t="s">
        <v>8</v>
      </c>
      <c r="D125" s="2">
        <v>280594</v>
      </c>
      <c r="E125">
        <v>107</v>
      </c>
      <c r="F125" t="s">
        <v>14</v>
      </c>
      <c r="G125" s="2">
        <f t="shared" si="3"/>
        <v>266564.3</v>
      </c>
      <c r="H125" s="1">
        <f t="shared" si="4"/>
        <v>137</v>
      </c>
    </row>
    <row r="126" spans="1:8">
      <c r="A126" s="1">
        <v>125</v>
      </c>
      <c r="B126" t="str">
        <f t="shared" si="5"/>
        <v>Water Treatment Pipeline</v>
      </c>
      <c r="C126" t="s">
        <v>6</v>
      </c>
      <c r="D126" s="2">
        <v>672713</v>
      </c>
      <c r="E126">
        <v>227</v>
      </c>
      <c r="F126" t="s">
        <v>13</v>
      </c>
      <c r="G126" s="2">
        <f t="shared" si="3"/>
        <v>773619.95</v>
      </c>
      <c r="H126" s="1">
        <f t="shared" si="4"/>
        <v>229</v>
      </c>
    </row>
    <row r="127" spans="1:8">
      <c r="A127" s="1">
        <v>126</v>
      </c>
      <c r="B127" t="str">
        <f t="shared" si="5"/>
        <v>National Highway Expansion</v>
      </c>
      <c r="C127" t="s">
        <v>6</v>
      </c>
      <c r="D127" s="2">
        <v>293779</v>
      </c>
      <c r="E127">
        <v>186</v>
      </c>
      <c r="F127" t="s">
        <v>14</v>
      </c>
      <c r="G127" s="2">
        <f t="shared" si="3"/>
        <v>337845.85</v>
      </c>
      <c r="H127" s="1">
        <f t="shared" si="4"/>
        <v>216</v>
      </c>
    </row>
    <row r="128" spans="1:8">
      <c r="A128" s="1">
        <v>127</v>
      </c>
      <c r="B128" t="str">
        <f t="shared" si="5"/>
        <v>Metro Corridor Extension</v>
      </c>
      <c r="C128" t="s">
        <v>5</v>
      </c>
      <c r="D128" s="2">
        <v>761380</v>
      </c>
      <c r="E128">
        <v>154</v>
      </c>
      <c r="F128" t="s">
        <v>13</v>
      </c>
      <c r="G128" s="2">
        <f t="shared" si="3"/>
        <v>723311</v>
      </c>
      <c r="H128" s="1">
        <f t="shared" si="4"/>
        <v>156</v>
      </c>
    </row>
    <row r="129" spans="1:8">
      <c r="A129" s="1">
        <v>128</v>
      </c>
      <c r="B129" t="str">
        <f t="shared" si="5"/>
        <v>Smart Grid Substation</v>
      </c>
      <c r="C129" t="s">
        <v>7</v>
      </c>
      <c r="D129" s="2">
        <v>854784</v>
      </c>
      <c r="E129">
        <v>232</v>
      </c>
      <c r="F129" t="s">
        <v>14</v>
      </c>
      <c r="G129" s="2">
        <f t="shared" si="3"/>
        <v>812044.8</v>
      </c>
      <c r="H129" s="1">
        <f t="shared" si="4"/>
        <v>262</v>
      </c>
    </row>
    <row r="130" spans="1:8">
      <c r="A130" s="1">
        <v>129</v>
      </c>
      <c r="B130" t="str">
        <f t="shared" si="5"/>
        <v>Elevated Flyover Construction</v>
      </c>
      <c r="C130" t="s">
        <v>6</v>
      </c>
      <c r="D130" s="2">
        <v>704615</v>
      </c>
      <c r="E130">
        <v>191</v>
      </c>
      <c r="F130" t="s">
        <v>14</v>
      </c>
      <c r="G130" s="2">
        <f t="shared" ref="G130:G193" si="6">IF(C130="North",D130*1.15,D130*0.95)</f>
        <v>810307.25</v>
      </c>
      <c r="H130" s="1">
        <f t="shared" ref="H130:H193" si="7">IF(F130="Yes",E130+30,E130+2)</f>
        <v>221</v>
      </c>
    </row>
    <row r="131" spans="1:8">
      <c r="A131" s="1">
        <v>130</v>
      </c>
      <c r="B131" t="str">
        <f t="shared" ref="B131:B194" si="8">VLOOKUP(MOD(A131,6),$L$4:$M$9,2,FALSE)</f>
        <v>Solar Power Plant Setup</v>
      </c>
      <c r="C131" t="s">
        <v>7</v>
      </c>
      <c r="D131" s="2">
        <v>467896</v>
      </c>
      <c r="E131">
        <v>206</v>
      </c>
      <c r="F131" t="s">
        <v>14</v>
      </c>
      <c r="G131" s="2">
        <f t="shared" si="6"/>
        <v>444501.2</v>
      </c>
      <c r="H131" s="1">
        <f t="shared" si="7"/>
        <v>236</v>
      </c>
    </row>
    <row r="132" spans="1:8">
      <c r="A132" s="1">
        <v>131</v>
      </c>
      <c r="B132" t="str">
        <f t="shared" si="8"/>
        <v>Water Treatment Pipeline</v>
      </c>
      <c r="C132" t="s">
        <v>7</v>
      </c>
      <c r="D132" s="2">
        <v>209948</v>
      </c>
      <c r="E132">
        <v>143</v>
      </c>
      <c r="F132" t="s">
        <v>13</v>
      </c>
      <c r="G132" s="2">
        <f t="shared" si="6"/>
        <v>199450.6</v>
      </c>
      <c r="H132" s="1">
        <f t="shared" si="7"/>
        <v>145</v>
      </c>
    </row>
    <row r="133" spans="1:8">
      <c r="A133" s="1">
        <v>132</v>
      </c>
      <c r="B133" t="str">
        <f t="shared" si="8"/>
        <v>National Highway Expansion</v>
      </c>
      <c r="C133" t="s">
        <v>7</v>
      </c>
      <c r="D133" s="2">
        <v>265684</v>
      </c>
      <c r="E133">
        <v>215</v>
      </c>
      <c r="F133" t="s">
        <v>14</v>
      </c>
      <c r="G133" s="2">
        <f t="shared" si="6"/>
        <v>252399.8</v>
      </c>
      <c r="H133" s="1">
        <f t="shared" si="7"/>
        <v>245</v>
      </c>
    </row>
    <row r="134" spans="1:8">
      <c r="A134" s="1">
        <v>133</v>
      </c>
      <c r="B134" t="str">
        <f t="shared" si="8"/>
        <v>Metro Corridor Extension</v>
      </c>
      <c r="C134" t="s">
        <v>7</v>
      </c>
      <c r="D134" s="2">
        <v>878847</v>
      </c>
      <c r="E134">
        <v>111</v>
      </c>
      <c r="F134" t="s">
        <v>13</v>
      </c>
      <c r="G134" s="2">
        <f t="shared" si="6"/>
        <v>834904.65</v>
      </c>
      <c r="H134" s="1">
        <f t="shared" si="7"/>
        <v>113</v>
      </c>
    </row>
    <row r="135" spans="1:8">
      <c r="A135" s="1">
        <v>134</v>
      </c>
      <c r="B135" t="str">
        <f t="shared" si="8"/>
        <v>Smart Grid Substation</v>
      </c>
      <c r="C135" t="s">
        <v>8</v>
      </c>
      <c r="D135" s="2">
        <v>819833</v>
      </c>
      <c r="E135">
        <v>112</v>
      </c>
      <c r="F135" t="s">
        <v>13</v>
      </c>
      <c r="G135" s="2">
        <f t="shared" si="6"/>
        <v>778841.35</v>
      </c>
      <c r="H135" s="1">
        <f t="shared" si="7"/>
        <v>114</v>
      </c>
    </row>
    <row r="136" spans="1:8">
      <c r="A136" s="1">
        <v>135</v>
      </c>
      <c r="B136" t="str">
        <f t="shared" si="8"/>
        <v>Elevated Flyover Construction</v>
      </c>
      <c r="C136" t="s">
        <v>8</v>
      </c>
      <c r="D136" s="2">
        <v>626523</v>
      </c>
      <c r="E136">
        <v>235</v>
      </c>
      <c r="F136" t="s">
        <v>13</v>
      </c>
      <c r="G136" s="2">
        <f t="shared" si="6"/>
        <v>595196.85</v>
      </c>
      <c r="H136" s="1">
        <f t="shared" si="7"/>
        <v>237</v>
      </c>
    </row>
    <row r="137" spans="1:8">
      <c r="A137" s="1">
        <v>136</v>
      </c>
      <c r="B137" t="str">
        <f t="shared" si="8"/>
        <v>Solar Power Plant Setup</v>
      </c>
      <c r="C137" t="s">
        <v>6</v>
      </c>
      <c r="D137" s="2">
        <v>340770</v>
      </c>
      <c r="E137">
        <v>169</v>
      </c>
      <c r="F137" t="s">
        <v>13</v>
      </c>
      <c r="G137" s="2">
        <f t="shared" si="6"/>
        <v>391885.5</v>
      </c>
      <c r="H137" s="1">
        <f t="shared" si="7"/>
        <v>171</v>
      </c>
    </row>
    <row r="138" spans="1:8">
      <c r="A138" s="1">
        <v>137</v>
      </c>
      <c r="B138" t="str">
        <f t="shared" si="8"/>
        <v>Water Treatment Pipeline</v>
      </c>
      <c r="C138" t="s">
        <v>8</v>
      </c>
      <c r="D138" s="2">
        <v>451239</v>
      </c>
      <c r="E138">
        <v>229</v>
      </c>
      <c r="F138" t="s">
        <v>14</v>
      </c>
      <c r="G138" s="2">
        <f t="shared" si="6"/>
        <v>428677.05</v>
      </c>
      <c r="H138" s="1">
        <f t="shared" si="7"/>
        <v>259</v>
      </c>
    </row>
    <row r="139" spans="1:8">
      <c r="A139" s="1">
        <v>138</v>
      </c>
      <c r="B139" t="str">
        <f t="shared" si="8"/>
        <v>National Highway Expansion</v>
      </c>
      <c r="C139" t="s">
        <v>7</v>
      </c>
      <c r="D139" s="2">
        <v>768508</v>
      </c>
      <c r="E139">
        <v>136</v>
      </c>
      <c r="F139" t="s">
        <v>13</v>
      </c>
      <c r="G139" s="2">
        <f t="shared" si="6"/>
        <v>730082.6</v>
      </c>
      <c r="H139" s="1">
        <f t="shared" si="7"/>
        <v>138</v>
      </c>
    </row>
    <row r="140" spans="1:8">
      <c r="A140" s="1">
        <v>139</v>
      </c>
      <c r="B140" t="str">
        <f t="shared" si="8"/>
        <v>Metro Corridor Extension</v>
      </c>
      <c r="C140" t="s">
        <v>8</v>
      </c>
      <c r="D140" s="2">
        <v>263314</v>
      </c>
      <c r="E140">
        <v>232</v>
      </c>
      <c r="F140" t="s">
        <v>13</v>
      </c>
      <c r="G140" s="2">
        <f t="shared" si="6"/>
        <v>250148.3</v>
      </c>
      <c r="H140" s="1">
        <f t="shared" si="7"/>
        <v>234</v>
      </c>
    </row>
    <row r="141" spans="1:8">
      <c r="A141" s="1">
        <v>140</v>
      </c>
      <c r="B141" t="str">
        <f t="shared" si="8"/>
        <v>Smart Grid Substation</v>
      </c>
      <c r="C141" t="s">
        <v>7</v>
      </c>
      <c r="D141" s="2">
        <v>294885</v>
      </c>
      <c r="E141">
        <v>163</v>
      </c>
      <c r="F141" t="s">
        <v>13</v>
      </c>
      <c r="G141" s="2">
        <f t="shared" si="6"/>
        <v>280140.75</v>
      </c>
      <c r="H141" s="1">
        <f t="shared" si="7"/>
        <v>165</v>
      </c>
    </row>
    <row r="142" spans="1:8">
      <c r="A142" s="1">
        <v>141</v>
      </c>
      <c r="B142" t="str">
        <f t="shared" si="8"/>
        <v>Elevated Flyover Construction</v>
      </c>
      <c r="C142" t="s">
        <v>6</v>
      </c>
      <c r="D142" s="2">
        <v>640526</v>
      </c>
      <c r="E142">
        <v>212</v>
      </c>
      <c r="F142" t="s">
        <v>14</v>
      </c>
      <c r="G142" s="2">
        <f t="shared" si="6"/>
        <v>736604.9</v>
      </c>
      <c r="H142" s="1">
        <f t="shared" si="7"/>
        <v>242</v>
      </c>
    </row>
    <row r="143" spans="1:8">
      <c r="A143" s="1">
        <v>142</v>
      </c>
      <c r="B143" t="str">
        <f t="shared" si="8"/>
        <v>Solar Power Plant Setup</v>
      </c>
      <c r="C143" t="s">
        <v>7</v>
      </c>
      <c r="D143" s="2">
        <v>510530</v>
      </c>
      <c r="E143">
        <v>220</v>
      </c>
      <c r="F143" t="s">
        <v>14</v>
      </c>
      <c r="G143" s="2">
        <f t="shared" si="6"/>
        <v>485003.5</v>
      </c>
      <c r="H143" s="1">
        <f t="shared" si="7"/>
        <v>250</v>
      </c>
    </row>
    <row r="144" spans="1:8">
      <c r="A144" s="1">
        <v>143</v>
      </c>
      <c r="B144" t="str">
        <f t="shared" si="8"/>
        <v>Water Treatment Pipeline</v>
      </c>
      <c r="C144" t="s">
        <v>4</v>
      </c>
      <c r="D144" s="2">
        <v>265857</v>
      </c>
      <c r="E144">
        <v>144</v>
      </c>
      <c r="F144" t="s">
        <v>13</v>
      </c>
      <c r="G144" s="2">
        <f t="shared" si="6"/>
        <v>252564.15</v>
      </c>
      <c r="H144" s="1">
        <f t="shared" si="7"/>
        <v>146</v>
      </c>
    </row>
    <row r="145" spans="1:8">
      <c r="A145" s="1">
        <v>144</v>
      </c>
      <c r="B145" t="str">
        <f t="shared" si="8"/>
        <v>National Highway Expansion</v>
      </c>
      <c r="C145" t="s">
        <v>8</v>
      </c>
      <c r="D145" s="2">
        <v>405267</v>
      </c>
      <c r="E145">
        <v>203</v>
      </c>
      <c r="F145" t="s">
        <v>14</v>
      </c>
      <c r="G145" s="2">
        <f t="shared" si="6"/>
        <v>385003.65</v>
      </c>
      <c r="H145" s="1">
        <f t="shared" si="7"/>
        <v>233</v>
      </c>
    </row>
    <row r="146" spans="1:8">
      <c r="A146" s="1">
        <v>145</v>
      </c>
      <c r="B146" t="str">
        <f t="shared" si="8"/>
        <v>Metro Corridor Extension</v>
      </c>
      <c r="C146" t="s">
        <v>6</v>
      </c>
      <c r="D146" s="2">
        <v>521449</v>
      </c>
      <c r="E146">
        <v>180</v>
      </c>
      <c r="F146" t="s">
        <v>13</v>
      </c>
      <c r="G146" s="2">
        <f t="shared" si="6"/>
        <v>599666.35</v>
      </c>
      <c r="H146" s="1">
        <f t="shared" si="7"/>
        <v>182</v>
      </c>
    </row>
    <row r="147" spans="1:8">
      <c r="A147" s="1">
        <v>146</v>
      </c>
      <c r="B147" t="str">
        <f t="shared" si="8"/>
        <v>Smart Grid Substation</v>
      </c>
      <c r="C147" t="s">
        <v>8</v>
      </c>
      <c r="D147" s="2">
        <v>760454</v>
      </c>
      <c r="E147">
        <v>214</v>
      </c>
      <c r="F147" t="s">
        <v>14</v>
      </c>
      <c r="G147" s="2">
        <f t="shared" si="6"/>
        <v>722431.3</v>
      </c>
      <c r="H147" s="1">
        <f t="shared" si="7"/>
        <v>244</v>
      </c>
    </row>
    <row r="148" spans="1:8">
      <c r="A148" s="1">
        <v>147</v>
      </c>
      <c r="B148" t="str">
        <f t="shared" si="8"/>
        <v>Elevated Flyover Construction</v>
      </c>
      <c r="C148" t="s">
        <v>8</v>
      </c>
      <c r="D148" s="2">
        <v>317673</v>
      </c>
      <c r="E148">
        <v>132</v>
      </c>
      <c r="F148" t="s">
        <v>13</v>
      </c>
      <c r="G148" s="2">
        <f t="shared" si="6"/>
        <v>301789.35</v>
      </c>
      <c r="H148" s="1">
        <f t="shared" si="7"/>
        <v>134</v>
      </c>
    </row>
    <row r="149" spans="1:8">
      <c r="A149" s="1">
        <v>148</v>
      </c>
      <c r="B149" t="str">
        <f t="shared" si="8"/>
        <v>Solar Power Plant Setup</v>
      </c>
      <c r="C149" t="s">
        <v>5</v>
      </c>
      <c r="D149" s="2">
        <v>282733</v>
      </c>
      <c r="E149">
        <v>177</v>
      </c>
      <c r="F149" t="s">
        <v>13</v>
      </c>
      <c r="G149" s="2">
        <f t="shared" si="6"/>
        <v>268596.35</v>
      </c>
      <c r="H149" s="1">
        <f t="shared" si="7"/>
        <v>179</v>
      </c>
    </row>
    <row r="150" spans="1:8">
      <c r="A150" s="1">
        <v>149</v>
      </c>
      <c r="B150" t="str">
        <f t="shared" si="8"/>
        <v>Water Treatment Pipeline</v>
      </c>
      <c r="C150" t="s">
        <v>6</v>
      </c>
      <c r="D150" s="2">
        <v>715689</v>
      </c>
      <c r="E150">
        <v>218</v>
      </c>
      <c r="F150" t="s">
        <v>13</v>
      </c>
      <c r="G150" s="2">
        <f t="shared" si="6"/>
        <v>823042.35</v>
      </c>
      <c r="H150" s="1">
        <f t="shared" si="7"/>
        <v>220</v>
      </c>
    </row>
    <row r="151" spans="1:8">
      <c r="A151" s="1">
        <v>150</v>
      </c>
      <c r="B151" t="str">
        <f t="shared" si="8"/>
        <v>National Highway Expansion</v>
      </c>
      <c r="C151" t="s">
        <v>7</v>
      </c>
      <c r="D151" s="2">
        <v>394455</v>
      </c>
      <c r="E151">
        <v>195</v>
      </c>
      <c r="F151" t="s">
        <v>13</v>
      </c>
      <c r="G151" s="2">
        <f t="shared" si="6"/>
        <v>374732.25</v>
      </c>
      <c r="H151" s="1">
        <f t="shared" si="7"/>
        <v>197</v>
      </c>
    </row>
    <row r="152" spans="1:8">
      <c r="A152" s="1">
        <v>151</v>
      </c>
      <c r="B152" t="str">
        <f t="shared" si="8"/>
        <v>Metro Corridor Extension</v>
      </c>
      <c r="C152" t="s">
        <v>4</v>
      </c>
      <c r="D152" s="2">
        <v>269516</v>
      </c>
      <c r="E152">
        <v>197</v>
      </c>
      <c r="F152" t="s">
        <v>14</v>
      </c>
      <c r="G152" s="2">
        <f t="shared" si="6"/>
        <v>256040.2</v>
      </c>
      <c r="H152" s="1">
        <f t="shared" si="7"/>
        <v>227</v>
      </c>
    </row>
    <row r="153" spans="1:8">
      <c r="A153" s="1">
        <v>152</v>
      </c>
      <c r="B153" t="str">
        <f t="shared" si="8"/>
        <v>Smart Grid Substation</v>
      </c>
      <c r="C153" t="s">
        <v>8</v>
      </c>
      <c r="D153" s="2">
        <v>284148</v>
      </c>
      <c r="E153">
        <v>125</v>
      </c>
      <c r="F153" t="s">
        <v>14</v>
      </c>
      <c r="G153" s="2">
        <f t="shared" si="6"/>
        <v>269940.6</v>
      </c>
      <c r="H153" s="1">
        <f t="shared" si="7"/>
        <v>155</v>
      </c>
    </row>
    <row r="154" spans="1:8">
      <c r="A154" s="1">
        <v>153</v>
      </c>
      <c r="B154" t="str">
        <f t="shared" si="8"/>
        <v>Elevated Flyover Construction</v>
      </c>
      <c r="C154" t="s">
        <v>4</v>
      </c>
      <c r="D154" s="2">
        <v>631861</v>
      </c>
      <c r="E154">
        <v>236</v>
      </c>
      <c r="F154" t="s">
        <v>13</v>
      </c>
      <c r="G154" s="2">
        <f t="shared" si="6"/>
        <v>600267.95</v>
      </c>
      <c r="H154" s="1">
        <f t="shared" si="7"/>
        <v>238</v>
      </c>
    </row>
    <row r="155" spans="1:8">
      <c r="A155" s="1">
        <v>154</v>
      </c>
      <c r="B155" t="str">
        <f t="shared" si="8"/>
        <v>Solar Power Plant Setup</v>
      </c>
      <c r="C155" t="s">
        <v>7</v>
      </c>
      <c r="D155" s="2">
        <v>300659</v>
      </c>
      <c r="E155">
        <v>211</v>
      </c>
      <c r="F155" t="s">
        <v>13</v>
      </c>
      <c r="G155" s="2">
        <f t="shared" si="6"/>
        <v>285626.05</v>
      </c>
      <c r="H155" s="1">
        <f t="shared" si="7"/>
        <v>213</v>
      </c>
    </row>
    <row r="156" spans="1:8">
      <c r="A156" s="1">
        <v>155</v>
      </c>
      <c r="B156" t="str">
        <f t="shared" si="8"/>
        <v>Water Treatment Pipeline</v>
      </c>
      <c r="C156" t="s">
        <v>6</v>
      </c>
      <c r="D156" s="2">
        <v>280648</v>
      </c>
      <c r="E156">
        <v>173</v>
      </c>
      <c r="F156" t="s">
        <v>13</v>
      </c>
      <c r="G156" s="2">
        <f t="shared" si="6"/>
        <v>322745.2</v>
      </c>
      <c r="H156" s="1">
        <f t="shared" si="7"/>
        <v>175</v>
      </c>
    </row>
    <row r="157" spans="1:8">
      <c r="A157" s="1">
        <v>156</v>
      </c>
      <c r="B157" t="str">
        <f t="shared" si="8"/>
        <v>National Highway Expansion</v>
      </c>
      <c r="C157" t="s">
        <v>7</v>
      </c>
      <c r="D157" s="2">
        <v>320086</v>
      </c>
      <c r="E157">
        <v>215</v>
      </c>
      <c r="F157" t="s">
        <v>13</v>
      </c>
      <c r="G157" s="2">
        <f t="shared" si="6"/>
        <v>304081.7</v>
      </c>
      <c r="H157" s="1">
        <f t="shared" si="7"/>
        <v>217</v>
      </c>
    </row>
    <row r="158" spans="1:8">
      <c r="A158" s="1">
        <v>157</v>
      </c>
      <c r="B158" t="str">
        <f t="shared" si="8"/>
        <v>Metro Corridor Extension</v>
      </c>
      <c r="C158" t="s">
        <v>6</v>
      </c>
      <c r="D158" s="2">
        <v>444605</v>
      </c>
      <c r="E158">
        <v>101</v>
      </c>
      <c r="F158" t="s">
        <v>13</v>
      </c>
      <c r="G158" s="2">
        <f t="shared" si="6"/>
        <v>511295.75</v>
      </c>
      <c r="H158" s="1">
        <f t="shared" si="7"/>
        <v>103</v>
      </c>
    </row>
    <row r="159" spans="1:8">
      <c r="A159" s="1">
        <v>158</v>
      </c>
      <c r="B159" t="str">
        <f t="shared" si="8"/>
        <v>Smart Grid Substation</v>
      </c>
      <c r="C159" t="s">
        <v>8</v>
      </c>
      <c r="D159" s="2">
        <v>752277</v>
      </c>
      <c r="E159">
        <v>150</v>
      </c>
      <c r="F159" t="s">
        <v>14</v>
      </c>
      <c r="G159" s="2">
        <f t="shared" si="6"/>
        <v>714663.15</v>
      </c>
      <c r="H159" s="1">
        <f t="shared" si="7"/>
        <v>180</v>
      </c>
    </row>
    <row r="160" spans="1:8">
      <c r="A160" s="1">
        <v>159</v>
      </c>
      <c r="B160" t="str">
        <f t="shared" si="8"/>
        <v>Elevated Flyover Construction</v>
      </c>
      <c r="C160" t="s">
        <v>6</v>
      </c>
      <c r="D160" s="2">
        <v>306281</v>
      </c>
      <c r="E160">
        <v>156</v>
      </c>
      <c r="F160" t="s">
        <v>14</v>
      </c>
      <c r="G160" s="2">
        <f t="shared" si="6"/>
        <v>352223.15</v>
      </c>
      <c r="H160" s="1">
        <f t="shared" si="7"/>
        <v>186</v>
      </c>
    </row>
    <row r="161" spans="1:8">
      <c r="A161" s="1">
        <v>160</v>
      </c>
      <c r="B161" t="str">
        <f t="shared" si="8"/>
        <v>Solar Power Plant Setup</v>
      </c>
      <c r="C161" t="s">
        <v>6</v>
      </c>
      <c r="D161" s="2">
        <v>271248</v>
      </c>
      <c r="E161">
        <v>215</v>
      </c>
      <c r="F161" t="s">
        <v>13</v>
      </c>
      <c r="G161" s="2">
        <f t="shared" si="6"/>
        <v>311935.2</v>
      </c>
      <c r="H161" s="1">
        <f t="shared" si="7"/>
        <v>217</v>
      </c>
    </row>
    <row r="162" spans="1:8">
      <c r="A162" s="1">
        <v>161</v>
      </c>
      <c r="B162" t="str">
        <f t="shared" si="8"/>
        <v>Water Treatment Pipeline</v>
      </c>
      <c r="C162" t="s">
        <v>8</v>
      </c>
      <c r="D162" s="2">
        <v>506116</v>
      </c>
      <c r="E162">
        <v>175</v>
      </c>
      <c r="F162" t="s">
        <v>13</v>
      </c>
      <c r="G162" s="2">
        <f t="shared" si="6"/>
        <v>480810.2</v>
      </c>
      <c r="H162" s="1">
        <f t="shared" si="7"/>
        <v>177</v>
      </c>
    </row>
    <row r="163" spans="1:8">
      <c r="A163" s="1">
        <v>162</v>
      </c>
      <c r="B163" t="str">
        <f t="shared" si="8"/>
        <v>National Highway Expansion</v>
      </c>
      <c r="C163" t="s">
        <v>8</v>
      </c>
      <c r="D163" s="2">
        <v>109731</v>
      </c>
      <c r="E163">
        <v>179</v>
      </c>
      <c r="F163" t="s">
        <v>14</v>
      </c>
      <c r="G163" s="2">
        <f t="shared" si="6"/>
        <v>104244.45</v>
      </c>
      <c r="H163" s="1">
        <f t="shared" si="7"/>
        <v>209</v>
      </c>
    </row>
    <row r="164" spans="1:8">
      <c r="A164" s="1">
        <v>163</v>
      </c>
      <c r="B164" t="str">
        <f t="shared" si="8"/>
        <v>Metro Corridor Extension</v>
      </c>
      <c r="C164" t="s">
        <v>7</v>
      </c>
      <c r="D164" s="2">
        <v>169875</v>
      </c>
      <c r="E164">
        <v>236</v>
      </c>
      <c r="F164" t="s">
        <v>13</v>
      </c>
      <c r="G164" s="2">
        <f t="shared" si="6"/>
        <v>161381.25</v>
      </c>
      <c r="H164" s="1">
        <f t="shared" si="7"/>
        <v>238</v>
      </c>
    </row>
    <row r="165" spans="1:8">
      <c r="A165" s="1">
        <v>164</v>
      </c>
      <c r="B165" t="str">
        <f t="shared" si="8"/>
        <v>Smart Grid Substation</v>
      </c>
      <c r="C165" t="s">
        <v>8</v>
      </c>
      <c r="D165" s="2">
        <v>269696</v>
      </c>
      <c r="E165">
        <v>232</v>
      </c>
      <c r="F165" t="s">
        <v>13</v>
      </c>
      <c r="G165" s="2">
        <f t="shared" si="6"/>
        <v>256211.2</v>
      </c>
      <c r="H165" s="1">
        <f t="shared" si="7"/>
        <v>234</v>
      </c>
    </row>
    <row r="166" spans="1:8">
      <c r="A166" s="1">
        <v>165</v>
      </c>
      <c r="B166" t="str">
        <f t="shared" si="8"/>
        <v>Elevated Flyover Construction</v>
      </c>
      <c r="C166" t="s">
        <v>8</v>
      </c>
      <c r="D166" s="2">
        <v>805763</v>
      </c>
      <c r="E166">
        <v>139</v>
      </c>
      <c r="F166" t="s">
        <v>13</v>
      </c>
      <c r="G166" s="2">
        <f t="shared" si="6"/>
        <v>765474.85</v>
      </c>
      <c r="H166" s="1">
        <f t="shared" si="7"/>
        <v>141</v>
      </c>
    </row>
    <row r="167" spans="1:8">
      <c r="A167" s="1">
        <v>166</v>
      </c>
      <c r="B167" t="str">
        <f t="shared" si="8"/>
        <v>Solar Power Plant Setup</v>
      </c>
      <c r="C167" t="s">
        <v>4</v>
      </c>
      <c r="D167" s="2">
        <v>662718</v>
      </c>
      <c r="E167">
        <v>173</v>
      </c>
      <c r="F167" t="s">
        <v>14</v>
      </c>
      <c r="G167" s="2">
        <f t="shared" si="6"/>
        <v>629582.1</v>
      </c>
      <c r="H167" s="1">
        <f t="shared" si="7"/>
        <v>203</v>
      </c>
    </row>
    <row r="168" spans="1:8">
      <c r="A168" s="1">
        <v>167</v>
      </c>
      <c r="B168" t="str">
        <f t="shared" si="8"/>
        <v>Water Treatment Pipeline</v>
      </c>
      <c r="C168" t="s">
        <v>5</v>
      </c>
      <c r="D168" s="2">
        <v>764449</v>
      </c>
      <c r="E168">
        <v>210</v>
      </c>
      <c r="F168" t="s">
        <v>13</v>
      </c>
      <c r="G168" s="2">
        <f t="shared" si="6"/>
        <v>726226.55</v>
      </c>
      <c r="H168" s="1">
        <f t="shared" si="7"/>
        <v>212</v>
      </c>
    </row>
    <row r="169" spans="1:8">
      <c r="A169" s="1">
        <v>168</v>
      </c>
      <c r="B169" t="str">
        <f t="shared" si="8"/>
        <v>National Highway Expansion</v>
      </c>
      <c r="C169" t="s">
        <v>5</v>
      </c>
      <c r="D169" s="2">
        <v>793295</v>
      </c>
      <c r="E169">
        <v>184</v>
      </c>
      <c r="F169" t="s">
        <v>14</v>
      </c>
      <c r="G169" s="2">
        <f t="shared" si="6"/>
        <v>753630.25</v>
      </c>
      <c r="H169" s="1">
        <f t="shared" si="7"/>
        <v>214</v>
      </c>
    </row>
    <row r="170" spans="1:8">
      <c r="A170" s="1">
        <v>169</v>
      </c>
      <c r="B170" t="str">
        <f t="shared" si="8"/>
        <v>Metro Corridor Extension</v>
      </c>
      <c r="C170" t="s">
        <v>6</v>
      </c>
      <c r="D170" s="2">
        <v>684631</v>
      </c>
      <c r="E170">
        <v>224</v>
      </c>
      <c r="F170" t="s">
        <v>14</v>
      </c>
      <c r="G170" s="2">
        <f t="shared" si="6"/>
        <v>787325.65</v>
      </c>
      <c r="H170" s="1">
        <f t="shared" si="7"/>
        <v>254</v>
      </c>
    </row>
    <row r="171" spans="1:8">
      <c r="A171" s="1">
        <v>170</v>
      </c>
      <c r="B171" t="str">
        <f t="shared" si="8"/>
        <v>Smart Grid Substation</v>
      </c>
      <c r="C171" t="s">
        <v>5</v>
      </c>
      <c r="D171" s="2">
        <v>719220</v>
      </c>
      <c r="E171">
        <v>129</v>
      </c>
      <c r="F171" t="s">
        <v>14</v>
      </c>
      <c r="G171" s="2">
        <f t="shared" si="6"/>
        <v>683259</v>
      </c>
      <c r="H171" s="1">
        <f t="shared" si="7"/>
        <v>159</v>
      </c>
    </row>
    <row r="172" spans="1:8">
      <c r="A172" s="1">
        <v>171</v>
      </c>
      <c r="B172" t="str">
        <f t="shared" si="8"/>
        <v>Elevated Flyover Construction</v>
      </c>
      <c r="C172" t="s">
        <v>6</v>
      </c>
      <c r="D172" s="2">
        <v>849009</v>
      </c>
      <c r="E172">
        <v>139</v>
      </c>
      <c r="F172" t="s">
        <v>14</v>
      </c>
      <c r="G172" s="2">
        <f t="shared" si="6"/>
        <v>976360.35</v>
      </c>
      <c r="H172" s="1">
        <f t="shared" si="7"/>
        <v>169</v>
      </c>
    </row>
    <row r="173" spans="1:8">
      <c r="A173" s="1">
        <v>172</v>
      </c>
      <c r="B173" t="str">
        <f t="shared" si="8"/>
        <v>Solar Power Plant Setup</v>
      </c>
      <c r="C173" t="s">
        <v>8</v>
      </c>
      <c r="D173" s="2">
        <v>529626</v>
      </c>
      <c r="E173">
        <v>139</v>
      </c>
      <c r="F173" t="s">
        <v>13</v>
      </c>
      <c r="G173" s="2">
        <f t="shared" si="6"/>
        <v>503144.7</v>
      </c>
      <c r="H173" s="1">
        <f t="shared" si="7"/>
        <v>141</v>
      </c>
    </row>
    <row r="174" spans="1:8">
      <c r="A174" s="1">
        <v>173</v>
      </c>
      <c r="B174" t="str">
        <f t="shared" si="8"/>
        <v>Water Treatment Pipeline</v>
      </c>
      <c r="C174" t="s">
        <v>4</v>
      </c>
      <c r="D174" s="2">
        <v>140166</v>
      </c>
      <c r="E174">
        <v>210</v>
      </c>
      <c r="F174" t="s">
        <v>14</v>
      </c>
      <c r="G174" s="2">
        <f t="shared" si="6"/>
        <v>133157.7</v>
      </c>
      <c r="H174" s="1">
        <f t="shared" si="7"/>
        <v>240</v>
      </c>
    </row>
    <row r="175" spans="1:8">
      <c r="A175" s="1">
        <v>174</v>
      </c>
      <c r="B175" t="str">
        <f t="shared" si="8"/>
        <v>National Highway Expansion</v>
      </c>
      <c r="C175" t="s">
        <v>7</v>
      </c>
      <c r="D175" s="2">
        <v>494264</v>
      </c>
      <c r="E175">
        <v>232</v>
      </c>
      <c r="F175" t="s">
        <v>14</v>
      </c>
      <c r="G175" s="2">
        <f t="shared" si="6"/>
        <v>469550.8</v>
      </c>
      <c r="H175" s="1">
        <f t="shared" si="7"/>
        <v>262</v>
      </c>
    </row>
    <row r="176" spans="1:8">
      <c r="A176" s="1">
        <v>175</v>
      </c>
      <c r="B176" t="str">
        <f t="shared" si="8"/>
        <v>Metro Corridor Extension</v>
      </c>
      <c r="C176" t="s">
        <v>8</v>
      </c>
      <c r="D176" s="2">
        <v>121076</v>
      </c>
      <c r="E176">
        <v>139</v>
      </c>
      <c r="F176" t="s">
        <v>14</v>
      </c>
      <c r="G176" s="2">
        <f t="shared" si="6"/>
        <v>115022.2</v>
      </c>
      <c r="H176" s="1">
        <f t="shared" si="7"/>
        <v>169</v>
      </c>
    </row>
    <row r="177" spans="1:8">
      <c r="A177" s="1">
        <v>176</v>
      </c>
      <c r="B177" t="str">
        <f t="shared" si="8"/>
        <v>Smart Grid Substation</v>
      </c>
      <c r="C177" t="s">
        <v>4</v>
      </c>
      <c r="D177" s="2">
        <v>160244</v>
      </c>
      <c r="E177">
        <v>108</v>
      </c>
      <c r="F177" t="s">
        <v>14</v>
      </c>
      <c r="G177" s="2">
        <f t="shared" si="6"/>
        <v>152231.8</v>
      </c>
      <c r="H177" s="1">
        <f t="shared" si="7"/>
        <v>138</v>
      </c>
    </row>
    <row r="178" spans="1:8">
      <c r="A178" s="1">
        <v>177</v>
      </c>
      <c r="B178" t="str">
        <f t="shared" si="8"/>
        <v>Elevated Flyover Construction</v>
      </c>
      <c r="C178" t="s">
        <v>4</v>
      </c>
      <c r="D178" s="2">
        <v>728315</v>
      </c>
      <c r="E178">
        <v>109</v>
      </c>
      <c r="F178" t="s">
        <v>13</v>
      </c>
      <c r="G178" s="2">
        <f t="shared" si="6"/>
        <v>691899.25</v>
      </c>
      <c r="H178" s="1">
        <f t="shared" si="7"/>
        <v>111</v>
      </c>
    </row>
    <row r="179" spans="1:8">
      <c r="A179" s="1">
        <v>178</v>
      </c>
      <c r="B179" t="str">
        <f t="shared" si="8"/>
        <v>Solar Power Plant Setup</v>
      </c>
      <c r="C179" t="s">
        <v>4</v>
      </c>
      <c r="D179" s="2">
        <v>280506</v>
      </c>
      <c r="E179">
        <v>188</v>
      </c>
      <c r="F179" t="s">
        <v>13</v>
      </c>
      <c r="G179" s="2">
        <f t="shared" si="6"/>
        <v>266480.7</v>
      </c>
      <c r="H179" s="1">
        <f t="shared" si="7"/>
        <v>190</v>
      </c>
    </row>
    <row r="180" spans="1:8">
      <c r="A180" s="1">
        <v>179</v>
      </c>
      <c r="B180" t="str">
        <f t="shared" si="8"/>
        <v>Water Treatment Pipeline</v>
      </c>
      <c r="C180" t="s">
        <v>6</v>
      </c>
      <c r="D180" s="2">
        <v>204257</v>
      </c>
      <c r="E180">
        <v>140</v>
      </c>
      <c r="F180" t="s">
        <v>14</v>
      </c>
      <c r="G180" s="2">
        <f t="shared" si="6"/>
        <v>234895.55</v>
      </c>
      <c r="H180" s="1">
        <f t="shared" si="7"/>
        <v>170</v>
      </c>
    </row>
    <row r="181" spans="1:8">
      <c r="A181" s="1">
        <v>180</v>
      </c>
      <c r="B181" t="str">
        <f t="shared" si="8"/>
        <v>National Highway Expansion</v>
      </c>
      <c r="C181" t="s">
        <v>8</v>
      </c>
      <c r="D181" s="2">
        <v>467893</v>
      </c>
      <c r="E181">
        <v>233</v>
      </c>
      <c r="F181" t="s">
        <v>14</v>
      </c>
      <c r="G181" s="2">
        <f t="shared" si="6"/>
        <v>444498.35</v>
      </c>
      <c r="H181" s="1">
        <f t="shared" si="7"/>
        <v>263</v>
      </c>
    </row>
    <row r="182" spans="1:8">
      <c r="A182" s="1">
        <v>181</v>
      </c>
      <c r="B182" t="str">
        <f t="shared" si="8"/>
        <v>Metro Corridor Extension</v>
      </c>
      <c r="C182" t="s">
        <v>8</v>
      </c>
      <c r="D182" s="2">
        <v>273162</v>
      </c>
      <c r="E182">
        <v>121</v>
      </c>
      <c r="F182" t="s">
        <v>14</v>
      </c>
      <c r="G182" s="2">
        <f t="shared" si="6"/>
        <v>259503.9</v>
      </c>
      <c r="H182" s="1">
        <f t="shared" si="7"/>
        <v>151</v>
      </c>
    </row>
    <row r="183" spans="1:8">
      <c r="A183" s="1">
        <v>182</v>
      </c>
      <c r="B183" t="str">
        <f t="shared" si="8"/>
        <v>Smart Grid Substation</v>
      </c>
      <c r="C183" t="s">
        <v>7</v>
      </c>
      <c r="D183" s="2">
        <v>729425</v>
      </c>
      <c r="E183">
        <v>102</v>
      </c>
      <c r="F183" t="s">
        <v>13</v>
      </c>
      <c r="G183" s="2">
        <f t="shared" si="6"/>
        <v>692953.75</v>
      </c>
      <c r="H183" s="1">
        <f t="shared" si="7"/>
        <v>104</v>
      </c>
    </row>
    <row r="184" spans="1:8">
      <c r="A184" s="1">
        <v>183</v>
      </c>
      <c r="B184" t="str">
        <f t="shared" si="8"/>
        <v>Elevated Flyover Construction</v>
      </c>
      <c r="C184" t="s">
        <v>8</v>
      </c>
      <c r="D184" s="2">
        <v>642375</v>
      </c>
      <c r="E184">
        <v>194</v>
      </c>
      <c r="F184" t="s">
        <v>14</v>
      </c>
      <c r="G184" s="2">
        <f t="shared" si="6"/>
        <v>610256.25</v>
      </c>
      <c r="H184" s="1">
        <f t="shared" si="7"/>
        <v>224</v>
      </c>
    </row>
    <row r="185" spans="1:8">
      <c r="A185" s="1">
        <v>184</v>
      </c>
      <c r="B185" t="str">
        <f t="shared" si="8"/>
        <v>Solar Power Plant Setup</v>
      </c>
      <c r="C185" t="s">
        <v>4</v>
      </c>
      <c r="D185" s="2">
        <v>175078</v>
      </c>
      <c r="E185">
        <v>216</v>
      </c>
      <c r="F185" t="s">
        <v>14</v>
      </c>
      <c r="G185" s="2">
        <f t="shared" si="6"/>
        <v>166324.1</v>
      </c>
      <c r="H185" s="1">
        <f t="shared" si="7"/>
        <v>246</v>
      </c>
    </row>
    <row r="186" spans="1:8">
      <c r="A186" s="1">
        <v>185</v>
      </c>
      <c r="B186" t="str">
        <f t="shared" si="8"/>
        <v>Water Treatment Pipeline</v>
      </c>
      <c r="C186" t="s">
        <v>8</v>
      </c>
      <c r="D186" s="2">
        <v>623432</v>
      </c>
      <c r="E186">
        <v>231</v>
      </c>
      <c r="F186" t="s">
        <v>14</v>
      </c>
      <c r="G186" s="2">
        <f t="shared" si="6"/>
        <v>592260.4</v>
      </c>
      <c r="H186" s="1">
        <f t="shared" si="7"/>
        <v>261</v>
      </c>
    </row>
    <row r="187" spans="1:8">
      <c r="A187" s="1">
        <v>186</v>
      </c>
      <c r="B187" t="str">
        <f t="shared" si="8"/>
        <v>National Highway Expansion</v>
      </c>
      <c r="C187" t="s">
        <v>7</v>
      </c>
      <c r="D187" s="2">
        <v>671512</v>
      </c>
      <c r="E187">
        <v>232</v>
      </c>
      <c r="F187" t="s">
        <v>14</v>
      </c>
      <c r="G187" s="2">
        <f t="shared" si="6"/>
        <v>637936.4</v>
      </c>
      <c r="H187" s="1">
        <f t="shared" si="7"/>
        <v>262</v>
      </c>
    </row>
    <row r="188" spans="1:8">
      <c r="A188" s="1">
        <v>187</v>
      </c>
      <c r="B188" t="str">
        <f t="shared" si="8"/>
        <v>Metro Corridor Extension</v>
      </c>
      <c r="C188" t="s">
        <v>8</v>
      </c>
      <c r="D188" s="2">
        <v>370621</v>
      </c>
      <c r="E188">
        <v>198</v>
      </c>
      <c r="F188" t="s">
        <v>13</v>
      </c>
      <c r="G188" s="2">
        <f t="shared" si="6"/>
        <v>352089.95</v>
      </c>
      <c r="H188" s="1">
        <f t="shared" si="7"/>
        <v>200</v>
      </c>
    </row>
    <row r="189" spans="1:8">
      <c r="A189" s="1">
        <v>188</v>
      </c>
      <c r="B189" t="str">
        <f t="shared" si="8"/>
        <v>Smart Grid Substation</v>
      </c>
      <c r="C189" t="s">
        <v>7</v>
      </c>
      <c r="D189" s="2">
        <v>785830</v>
      </c>
      <c r="E189">
        <v>140</v>
      </c>
      <c r="F189" t="s">
        <v>14</v>
      </c>
      <c r="G189" s="2">
        <f t="shared" si="6"/>
        <v>746538.5</v>
      </c>
      <c r="H189" s="1">
        <f t="shared" si="7"/>
        <v>170</v>
      </c>
    </row>
    <row r="190" spans="1:8">
      <c r="A190" s="1">
        <v>189</v>
      </c>
      <c r="B190" t="str">
        <f t="shared" si="8"/>
        <v>Elevated Flyover Construction</v>
      </c>
      <c r="C190" t="s">
        <v>6</v>
      </c>
      <c r="D190" s="2">
        <v>650148</v>
      </c>
      <c r="E190">
        <v>116</v>
      </c>
      <c r="F190" t="s">
        <v>14</v>
      </c>
      <c r="G190" s="2">
        <f t="shared" si="6"/>
        <v>747670.2</v>
      </c>
      <c r="H190" s="1">
        <f t="shared" si="7"/>
        <v>146</v>
      </c>
    </row>
    <row r="191" spans="1:8">
      <c r="A191" s="1">
        <v>190</v>
      </c>
      <c r="B191" t="str">
        <f t="shared" si="8"/>
        <v>Solar Power Plant Setup</v>
      </c>
      <c r="C191" t="s">
        <v>6</v>
      </c>
      <c r="D191" s="2">
        <v>150562</v>
      </c>
      <c r="E191">
        <v>215</v>
      </c>
      <c r="F191" t="s">
        <v>14</v>
      </c>
      <c r="G191" s="2">
        <f t="shared" si="6"/>
        <v>173146.3</v>
      </c>
      <c r="H191" s="1">
        <f t="shared" si="7"/>
        <v>245</v>
      </c>
    </row>
    <row r="192" spans="1:8">
      <c r="A192" s="1">
        <v>191</v>
      </c>
      <c r="B192" t="str">
        <f t="shared" si="8"/>
        <v>Water Treatment Pipeline</v>
      </c>
      <c r="C192" t="s">
        <v>6</v>
      </c>
      <c r="D192" s="2">
        <v>227927</v>
      </c>
      <c r="E192">
        <v>164</v>
      </c>
      <c r="F192" t="s">
        <v>14</v>
      </c>
      <c r="G192" s="2">
        <f t="shared" si="6"/>
        <v>262116.05</v>
      </c>
      <c r="H192" s="1">
        <f t="shared" si="7"/>
        <v>194</v>
      </c>
    </row>
    <row r="193" spans="1:8">
      <c r="A193" s="1">
        <v>192</v>
      </c>
      <c r="B193" t="str">
        <f t="shared" si="8"/>
        <v>National Highway Expansion</v>
      </c>
      <c r="C193" t="s">
        <v>7</v>
      </c>
      <c r="D193" s="2">
        <v>204168</v>
      </c>
      <c r="E193">
        <v>169</v>
      </c>
      <c r="F193" t="s">
        <v>14</v>
      </c>
      <c r="G193" s="2">
        <f t="shared" si="6"/>
        <v>193959.6</v>
      </c>
      <c r="H193" s="1">
        <f t="shared" si="7"/>
        <v>199</v>
      </c>
    </row>
    <row r="194" spans="1:8">
      <c r="A194" s="1">
        <v>193</v>
      </c>
      <c r="B194" t="str">
        <f t="shared" si="8"/>
        <v>Metro Corridor Extension</v>
      </c>
      <c r="C194" t="s">
        <v>7</v>
      </c>
      <c r="D194" s="2">
        <v>489614</v>
      </c>
      <c r="E194">
        <v>167</v>
      </c>
      <c r="F194" t="s">
        <v>13</v>
      </c>
      <c r="G194" s="2">
        <f t="shared" ref="G194:G257" si="9">IF(C194="North",D194*1.15,D194*0.95)</f>
        <v>465133.3</v>
      </c>
      <c r="H194" s="1">
        <f t="shared" ref="H194:H257" si="10">IF(F194="Yes",E194+30,E194+2)</f>
        <v>169</v>
      </c>
    </row>
    <row r="195" spans="1:8">
      <c r="A195" s="1">
        <v>194</v>
      </c>
      <c r="B195" t="str">
        <f t="shared" ref="B195:B258" si="11">VLOOKUP(MOD(A195,6),$L$4:$M$9,2,FALSE)</f>
        <v>Smart Grid Substation</v>
      </c>
      <c r="C195" t="s">
        <v>6</v>
      </c>
      <c r="D195" s="2">
        <v>611305</v>
      </c>
      <c r="E195">
        <v>146</v>
      </c>
      <c r="F195" t="s">
        <v>14</v>
      </c>
      <c r="G195" s="2">
        <f t="shared" si="9"/>
        <v>703000.75</v>
      </c>
      <c r="H195" s="1">
        <f t="shared" si="10"/>
        <v>176</v>
      </c>
    </row>
    <row r="196" spans="1:8">
      <c r="A196" s="1">
        <v>195</v>
      </c>
      <c r="B196" t="str">
        <f t="shared" si="11"/>
        <v>Elevated Flyover Construction</v>
      </c>
      <c r="C196" t="s">
        <v>4</v>
      </c>
      <c r="D196" s="2">
        <v>638161</v>
      </c>
      <c r="E196">
        <v>174</v>
      </c>
      <c r="F196" t="s">
        <v>14</v>
      </c>
      <c r="G196" s="2">
        <f t="shared" si="9"/>
        <v>606252.95</v>
      </c>
      <c r="H196" s="1">
        <f t="shared" si="10"/>
        <v>204</v>
      </c>
    </row>
    <row r="197" spans="1:8">
      <c r="A197" s="1">
        <v>196</v>
      </c>
      <c r="B197" t="str">
        <f t="shared" si="11"/>
        <v>Solar Power Plant Setup</v>
      </c>
      <c r="C197" t="s">
        <v>8</v>
      </c>
      <c r="D197" s="2">
        <v>478226</v>
      </c>
      <c r="E197">
        <v>226</v>
      </c>
      <c r="F197" t="s">
        <v>13</v>
      </c>
      <c r="G197" s="2">
        <f t="shared" si="9"/>
        <v>454314.7</v>
      </c>
      <c r="H197" s="1">
        <f t="shared" si="10"/>
        <v>228</v>
      </c>
    </row>
    <row r="198" spans="1:8">
      <c r="A198" s="1">
        <v>197</v>
      </c>
      <c r="B198" t="str">
        <f t="shared" si="11"/>
        <v>Water Treatment Pipeline</v>
      </c>
      <c r="C198" t="s">
        <v>7</v>
      </c>
      <c r="D198" s="2">
        <v>203850</v>
      </c>
      <c r="E198">
        <v>232</v>
      </c>
      <c r="F198" t="s">
        <v>14</v>
      </c>
      <c r="G198" s="2">
        <f t="shared" si="9"/>
        <v>193657.5</v>
      </c>
      <c r="H198" s="1">
        <f t="shared" si="10"/>
        <v>262</v>
      </c>
    </row>
    <row r="199" spans="1:8">
      <c r="A199" s="1">
        <v>198</v>
      </c>
      <c r="B199" t="str">
        <f t="shared" si="11"/>
        <v>National Highway Expansion</v>
      </c>
      <c r="C199" t="s">
        <v>6</v>
      </c>
      <c r="D199" s="2">
        <v>202565</v>
      </c>
      <c r="E199">
        <v>118</v>
      </c>
      <c r="F199" t="s">
        <v>13</v>
      </c>
      <c r="G199" s="2">
        <f t="shared" si="9"/>
        <v>232949.75</v>
      </c>
      <c r="H199" s="1">
        <f t="shared" si="10"/>
        <v>120</v>
      </c>
    </row>
    <row r="200" spans="1:8">
      <c r="A200" s="1">
        <v>199</v>
      </c>
      <c r="B200" t="str">
        <f t="shared" si="11"/>
        <v>Metro Corridor Extension</v>
      </c>
      <c r="C200" t="s">
        <v>8</v>
      </c>
      <c r="D200" s="2">
        <v>277737</v>
      </c>
      <c r="E200">
        <v>201</v>
      </c>
      <c r="F200" t="s">
        <v>13</v>
      </c>
      <c r="G200" s="2">
        <f t="shared" si="9"/>
        <v>263850.15</v>
      </c>
      <c r="H200" s="1">
        <f t="shared" si="10"/>
        <v>203</v>
      </c>
    </row>
    <row r="201" spans="1:8">
      <c r="A201" s="1">
        <v>200</v>
      </c>
      <c r="B201" t="str">
        <f t="shared" si="11"/>
        <v>Smart Grid Substation</v>
      </c>
      <c r="C201" t="s">
        <v>8</v>
      </c>
      <c r="D201" s="2">
        <v>102263</v>
      </c>
      <c r="E201">
        <v>201</v>
      </c>
      <c r="F201" t="s">
        <v>14</v>
      </c>
      <c r="G201" s="2">
        <f t="shared" si="9"/>
        <v>97149.85</v>
      </c>
      <c r="H201" s="1">
        <f t="shared" si="10"/>
        <v>231</v>
      </c>
    </row>
    <row r="202" spans="1:8">
      <c r="A202" s="1">
        <v>201</v>
      </c>
      <c r="B202" t="str">
        <f t="shared" si="11"/>
        <v>Elevated Flyover Construction</v>
      </c>
      <c r="C202" t="s">
        <v>7</v>
      </c>
      <c r="D202" s="2">
        <v>677547</v>
      </c>
      <c r="E202">
        <v>187</v>
      </c>
      <c r="F202" t="s">
        <v>13</v>
      </c>
      <c r="G202" s="2">
        <f t="shared" si="9"/>
        <v>643669.65</v>
      </c>
      <c r="H202" s="1">
        <f t="shared" si="10"/>
        <v>189</v>
      </c>
    </row>
    <row r="203" spans="1:8">
      <c r="A203" s="1">
        <v>202</v>
      </c>
      <c r="B203" t="str">
        <f t="shared" si="11"/>
        <v>Solar Power Plant Setup</v>
      </c>
      <c r="C203" t="s">
        <v>4</v>
      </c>
      <c r="D203" s="2">
        <v>379842</v>
      </c>
      <c r="E203">
        <v>189</v>
      </c>
      <c r="F203" t="s">
        <v>13</v>
      </c>
      <c r="G203" s="2">
        <f t="shared" si="9"/>
        <v>360849.9</v>
      </c>
      <c r="H203" s="1">
        <f t="shared" si="10"/>
        <v>191</v>
      </c>
    </row>
    <row r="204" spans="1:8">
      <c r="A204" s="1">
        <v>203</v>
      </c>
      <c r="B204" t="str">
        <f t="shared" si="11"/>
        <v>Water Treatment Pipeline</v>
      </c>
      <c r="C204" t="s">
        <v>7</v>
      </c>
      <c r="D204" s="2">
        <v>796379</v>
      </c>
      <c r="E204">
        <v>135</v>
      </c>
      <c r="F204" t="s">
        <v>14</v>
      </c>
      <c r="G204" s="2">
        <f t="shared" si="9"/>
        <v>756560.05</v>
      </c>
      <c r="H204" s="1">
        <f t="shared" si="10"/>
        <v>165</v>
      </c>
    </row>
    <row r="205" spans="1:8">
      <c r="A205" s="1">
        <v>204</v>
      </c>
      <c r="B205" t="str">
        <f t="shared" si="11"/>
        <v>National Highway Expansion</v>
      </c>
      <c r="C205" t="s">
        <v>6</v>
      </c>
      <c r="D205" s="2">
        <v>155048</v>
      </c>
      <c r="E205">
        <v>232</v>
      </c>
      <c r="F205" t="s">
        <v>13</v>
      </c>
      <c r="G205" s="2">
        <f t="shared" si="9"/>
        <v>178305.2</v>
      </c>
      <c r="H205" s="1">
        <f t="shared" si="10"/>
        <v>234</v>
      </c>
    </row>
    <row r="206" spans="1:8">
      <c r="A206" s="1">
        <v>205</v>
      </c>
      <c r="B206" t="str">
        <f t="shared" si="11"/>
        <v>Metro Corridor Extension</v>
      </c>
      <c r="C206" t="s">
        <v>8</v>
      </c>
      <c r="D206" s="2">
        <v>208551</v>
      </c>
      <c r="E206">
        <v>235</v>
      </c>
      <c r="F206" t="s">
        <v>14</v>
      </c>
      <c r="G206" s="2">
        <f t="shared" si="9"/>
        <v>198123.45</v>
      </c>
      <c r="H206" s="1">
        <f t="shared" si="10"/>
        <v>265</v>
      </c>
    </row>
    <row r="207" spans="1:8">
      <c r="A207" s="1">
        <v>206</v>
      </c>
      <c r="B207" t="str">
        <f t="shared" si="11"/>
        <v>Smart Grid Substation</v>
      </c>
      <c r="C207" t="s">
        <v>8</v>
      </c>
      <c r="D207" s="2">
        <v>115797</v>
      </c>
      <c r="E207">
        <v>158</v>
      </c>
      <c r="F207" t="s">
        <v>14</v>
      </c>
      <c r="G207" s="2">
        <f t="shared" si="9"/>
        <v>110007.15</v>
      </c>
      <c r="H207" s="1">
        <f t="shared" si="10"/>
        <v>188</v>
      </c>
    </row>
    <row r="208" spans="1:8">
      <c r="A208" s="1">
        <v>207</v>
      </c>
      <c r="B208" t="str">
        <f t="shared" si="11"/>
        <v>Elevated Flyover Construction</v>
      </c>
      <c r="C208" t="s">
        <v>8</v>
      </c>
      <c r="D208" s="2">
        <v>537459</v>
      </c>
      <c r="E208">
        <v>137</v>
      </c>
      <c r="F208" t="s">
        <v>14</v>
      </c>
      <c r="G208" s="2">
        <f t="shared" si="9"/>
        <v>510586.05</v>
      </c>
      <c r="H208" s="1">
        <f t="shared" si="10"/>
        <v>167</v>
      </c>
    </row>
    <row r="209" spans="1:8">
      <c r="A209" s="1">
        <v>208</v>
      </c>
      <c r="B209" t="str">
        <f t="shared" si="11"/>
        <v>Solar Power Plant Setup</v>
      </c>
      <c r="C209" t="s">
        <v>8</v>
      </c>
      <c r="D209" s="2">
        <v>666150</v>
      </c>
      <c r="E209">
        <v>140</v>
      </c>
      <c r="F209" t="s">
        <v>14</v>
      </c>
      <c r="G209" s="2">
        <f t="shared" si="9"/>
        <v>632842.5</v>
      </c>
      <c r="H209" s="1">
        <f t="shared" si="10"/>
        <v>170</v>
      </c>
    </row>
    <row r="210" spans="1:8">
      <c r="A210" s="1">
        <v>209</v>
      </c>
      <c r="B210" t="str">
        <f t="shared" si="11"/>
        <v>Water Treatment Pipeline</v>
      </c>
      <c r="C210" t="s">
        <v>6</v>
      </c>
      <c r="D210" s="2">
        <v>144378</v>
      </c>
      <c r="E210">
        <v>187</v>
      </c>
      <c r="F210" t="s">
        <v>14</v>
      </c>
      <c r="G210" s="2">
        <f t="shared" si="9"/>
        <v>166034.7</v>
      </c>
      <c r="H210" s="1">
        <f t="shared" si="10"/>
        <v>217</v>
      </c>
    </row>
    <row r="211" spans="1:8">
      <c r="A211" s="1">
        <v>210</v>
      </c>
      <c r="B211" t="str">
        <f t="shared" si="11"/>
        <v>National Highway Expansion</v>
      </c>
      <c r="C211" t="s">
        <v>7</v>
      </c>
      <c r="D211" s="2">
        <v>492375</v>
      </c>
      <c r="E211">
        <v>237</v>
      </c>
      <c r="F211" t="s">
        <v>13</v>
      </c>
      <c r="G211" s="2">
        <f t="shared" si="9"/>
        <v>467756.25</v>
      </c>
      <c r="H211" s="1">
        <f t="shared" si="10"/>
        <v>239</v>
      </c>
    </row>
    <row r="212" spans="1:8">
      <c r="A212" s="1">
        <v>211</v>
      </c>
      <c r="B212" t="str">
        <f t="shared" si="11"/>
        <v>Metro Corridor Extension</v>
      </c>
      <c r="C212" t="s">
        <v>6</v>
      </c>
      <c r="D212" s="2">
        <v>405670</v>
      </c>
      <c r="E212">
        <v>178</v>
      </c>
      <c r="F212" t="s">
        <v>13</v>
      </c>
      <c r="G212" s="2">
        <f t="shared" si="9"/>
        <v>466520.5</v>
      </c>
      <c r="H212" s="1">
        <f t="shared" si="10"/>
        <v>180</v>
      </c>
    </row>
    <row r="213" spans="1:8">
      <c r="A213" s="1">
        <v>212</v>
      </c>
      <c r="B213" t="str">
        <f t="shared" si="11"/>
        <v>Smart Grid Substation</v>
      </c>
      <c r="C213" t="s">
        <v>7</v>
      </c>
      <c r="D213" s="2">
        <v>135186</v>
      </c>
      <c r="E213">
        <v>102</v>
      </c>
      <c r="F213" t="s">
        <v>13</v>
      </c>
      <c r="G213" s="2">
        <f t="shared" si="9"/>
        <v>128426.7</v>
      </c>
      <c r="H213" s="1">
        <f t="shared" si="10"/>
        <v>104</v>
      </c>
    </row>
    <row r="214" spans="1:8">
      <c r="A214" s="1">
        <v>213</v>
      </c>
      <c r="B214" t="str">
        <f t="shared" si="11"/>
        <v>Elevated Flyover Construction</v>
      </c>
      <c r="C214" t="s">
        <v>6</v>
      </c>
      <c r="D214" s="2">
        <v>654980</v>
      </c>
      <c r="E214">
        <v>178</v>
      </c>
      <c r="F214" t="s">
        <v>14</v>
      </c>
      <c r="G214" s="2">
        <f t="shared" si="9"/>
        <v>753227</v>
      </c>
      <c r="H214" s="1">
        <f t="shared" si="10"/>
        <v>208</v>
      </c>
    </row>
    <row r="215" spans="1:8">
      <c r="A215" s="1">
        <v>214</v>
      </c>
      <c r="B215" t="str">
        <f t="shared" si="11"/>
        <v>Solar Power Plant Setup</v>
      </c>
      <c r="C215" t="s">
        <v>6</v>
      </c>
      <c r="D215" s="2">
        <v>460011</v>
      </c>
      <c r="E215">
        <v>110</v>
      </c>
      <c r="F215" t="s">
        <v>14</v>
      </c>
      <c r="G215" s="2">
        <f t="shared" si="9"/>
        <v>529012.65</v>
      </c>
      <c r="H215" s="1">
        <f t="shared" si="10"/>
        <v>140</v>
      </c>
    </row>
    <row r="216" spans="1:8">
      <c r="A216" s="1">
        <v>215</v>
      </c>
      <c r="B216" t="str">
        <f t="shared" si="11"/>
        <v>Water Treatment Pipeline</v>
      </c>
      <c r="C216" t="s">
        <v>8</v>
      </c>
      <c r="D216" s="2">
        <v>727221</v>
      </c>
      <c r="E216">
        <v>200</v>
      </c>
      <c r="F216" t="s">
        <v>14</v>
      </c>
      <c r="G216" s="2">
        <f t="shared" si="9"/>
        <v>690859.95</v>
      </c>
      <c r="H216" s="1">
        <f t="shared" si="10"/>
        <v>230</v>
      </c>
    </row>
    <row r="217" spans="1:8">
      <c r="A217" s="1">
        <v>216</v>
      </c>
      <c r="B217" t="str">
        <f t="shared" si="11"/>
        <v>National Highway Expansion</v>
      </c>
      <c r="C217" t="s">
        <v>4</v>
      </c>
      <c r="D217" s="2">
        <v>677996</v>
      </c>
      <c r="E217">
        <v>95</v>
      </c>
      <c r="F217" t="s">
        <v>13</v>
      </c>
      <c r="G217" s="2">
        <f t="shared" si="9"/>
        <v>644096.2</v>
      </c>
      <c r="H217" s="1">
        <f t="shared" si="10"/>
        <v>97</v>
      </c>
    </row>
    <row r="218" spans="1:8">
      <c r="A218" s="1">
        <v>217</v>
      </c>
      <c r="B218" t="str">
        <f t="shared" si="11"/>
        <v>Metro Corridor Extension</v>
      </c>
      <c r="C218" t="s">
        <v>4</v>
      </c>
      <c r="D218" s="2">
        <v>285550</v>
      </c>
      <c r="E218">
        <v>108</v>
      </c>
      <c r="F218" t="s">
        <v>14</v>
      </c>
      <c r="G218" s="2">
        <f t="shared" si="9"/>
        <v>271272.5</v>
      </c>
      <c r="H218" s="1">
        <f t="shared" si="10"/>
        <v>138</v>
      </c>
    </row>
    <row r="219" spans="1:8">
      <c r="A219" s="1">
        <v>218</v>
      </c>
      <c r="B219" t="str">
        <f t="shared" si="11"/>
        <v>Smart Grid Substation</v>
      </c>
      <c r="C219" t="s">
        <v>6</v>
      </c>
      <c r="D219" s="2">
        <v>462876</v>
      </c>
      <c r="E219">
        <v>162</v>
      </c>
      <c r="F219" t="s">
        <v>13</v>
      </c>
      <c r="G219" s="2">
        <f t="shared" si="9"/>
        <v>532307.4</v>
      </c>
      <c r="H219" s="1">
        <f t="shared" si="10"/>
        <v>164</v>
      </c>
    </row>
    <row r="220" spans="1:8">
      <c r="A220" s="1">
        <v>219</v>
      </c>
      <c r="B220" t="str">
        <f t="shared" si="11"/>
        <v>Elevated Flyover Construction</v>
      </c>
      <c r="C220" t="s">
        <v>8</v>
      </c>
      <c r="D220" s="2">
        <v>541487</v>
      </c>
      <c r="E220">
        <v>232</v>
      </c>
      <c r="F220" t="s">
        <v>14</v>
      </c>
      <c r="G220" s="2">
        <f t="shared" si="9"/>
        <v>514412.65</v>
      </c>
      <c r="H220" s="1">
        <f t="shared" si="10"/>
        <v>262</v>
      </c>
    </row>
    <row r="221" spans="1:8">
      <c r="A221" s="1">
        <v>220</v>
      </c>
      <c r="B221" t="str">
        <f t="shared" si="11"/>
        <v>Solar Power Plant Setup</v>
      </c>
      <c r="C221" t="s">
        <v>6</v>
      </c>
      <c r="D221" s="2">
        <v>853366</v>
      </c>
      <c r="E221">
        <v>153</v>
      </c>
      <c r="F221" t="s">
        <v>13</v>
      </c>
      <c r="G221" s="2">
        <f t="shared" si="9"/>
        <v>981370.9</v>
      </c>
      <c r="H221" s="1">
        <f t="shared" si="10"/>
        <v>155</v>
      </c>
    </row>
    <row r="222" spans="1:8">
      <c r="A222" s="1">
        <v>221</v>
      </c>
      <c r="B222" t="str">
        <f t="shared" si="11"/>
        <v>Water Treatment Pipeline</v>
      </c>
      <c r="C222" t="s">
        <v>4</v>
      </c>
      <c r="D222" s="2">
        <v>698687</v>
      </c>
      <c r="E222">
        <v>224</v>
      </c>
      <c r="F222" t="s">
        <v>14</v>
      </c>
      <c r="G222" s="2">
        <f t="shared" si="9"/>
        <v>663752.65</v>
      </c>
      <c r="H222" s="1">
        <f t="shared" si="10"/>
        <v>254</v>
      </c>
    </row>
    <row r="223" spans="1:8">
      <c r="A223" s="1">
        <v>222</v>
      </c>
      <c r="B223" t="str">
        <f t="shared" si="11"/>
        <v>National Highway Expansion</v>
      </c>
      <c r="C223" t="s">
        <v>4</v>
      </c>
      <c r="D223" s="2">
        <v>472203</v>
      </c>
      <c r="E223">
        <v>220</v>
      </c>
      <c r="F223" t="s">
        <v>13</v>
      </c>
      <c r="G223" s="2">
        <f t="shared" si="9"/>
        <v>448592.85</v>
      </c>
      <c r="H223" s="1">
        <f t="shared" si="10"/>
        <v>222</v>
      </c>
    </row>
    <row r="224" spans="1:8">
      <c r="A224" s="1">
        <v>223</v>
      </c>
      <c r="B224" t="str">
        <f t="shared" si="11"/>
        <v>Metro Corridor Extension</v>
      </c>
      <c r="C224" t="s">
        <v>7</v>
      </c>
      <c r="D224" s="2">
        <v>599392</v>
      </c>
      <c r="E224">
        <v>232</v>
      </c>
      <c r="F224" t="s">
        <v>13</v>
      </c>
      <c r="G224" s="2">
        <f t="shared" si="9"/>
        <v>569422.4</v>
      </c>
      <c r="H224" s="1">
        <f t="shared" si="10"/>
        <v>234</v>
      </c>
    </row>
    <row r="225" spans="1:8">
      <c r="A225" s="1">
        <v>224</v>
      </c>
      <c r="B225" t="str">
        <f t="shared" si="11"/>
        <v>Smart Grid Substation</v>
      </c>
      <c r="C225" t="s">
        <v>8</v>
      </c>
      <c r="D225" s="2">
        <v>755470</v>
      </c>
      <c r="E225">
        <v>155</v>
      </c>
      <c r="F225" t="s">
        <v>14</v>
      </c>
      <c r="G225" s="2">
        <f t="shared" si="9"/>
        <v>717696.5</v>
      </c>
      <c r="H225" s="1">
        <f t="shared" si="10"/>
        <v>185</v>
      </c>
    </row>
    <row r="226" spans="1:8">
      <c r="A226" s="1">
        <v>225</v>
      </c>
      <c r="B226" t="str">
        <f t="shared" si="11"/>
        <v>Elevated Flyover Construction</v>
      </c>
      <c r="C226" t="s">
        <v>7</v>
      </c>
      <c r="D226" s="2">
        <v>880294</v>
      </c>
      <c r="E226">
        <v>240</v>
      </c>
      <c r="F226" t="s">
        <v>13</v>
      </c>
      <c r="G226" s="2">
        <f t="shared" si="9"/>
        <v>836279.3</v>
      </c>
      <c r="H226" s="1">
        <f t="shared" si="10"/>
        <v>242</v>
      </c>
    </row>
    <row r="227" spans="1:8">
      <c r="A227" s="1">
        <v>226</v>
      </c>
      <c r="B227" t="str">
        <f t="shared" si="11"/>
        <v>Solar Power Plant Setup</v>
      </c>
      <c r="C227" t="s">
        <v>4</v>
      </c>
      <c r="D227" s="2">
        <v>635388</v>
      </c>
      <c r="E227">
        <v>212</v>
      </c>
      <c r="F227" t="s">
        <v>13</v>
      </c>
      <c r="G227" s="2">
        <f t="shared" si="9"/>
        <v>603618.6</v>
      </c>
      <c r="H227" s="1">
        <f t="shared" si="10"/>
        <v>214</v>
      </c>
    </row>
    <row r="228" spans="1:8">
      <c r="A228" s="1">
        <v>227</v>
      </c>
      <c r="B228" t="str">
        <f t="shared" si="11"/>
        <v>Water Treatment Pipeline</v>
      </c>
      <c r="C228" t="s">
        <v>4</v>
      </c>
      <c r="D228" s="2">
        <v>229663</v>
      </c>
      <c r="E228">
        <v>180</v>
      </c>
      <c r="F228" t="s">
        <v>14</v>
      </c>
      <c r="G228" s="2">
        <f t="shared" si="9"/>
        <v>218179.85</v>
      </c>
      <c r="H228" s="1">
        <f t="shared" si="10"/>
        <v>210</v>
      </c>
    </row>
    <row r="229" spans="1:8">
      <c r="A229" s="1">
        <v>228</v>
      </c>
      <c r="B229" t="str">
        <f t="shared" si="11"/>
        <v>National Highway Expansion</v>
      </c>
      <c r="C229" t="s">
        <v>8</v>
      </c>
      <c r="D229" s="2">
        <v>853748</v>
      </c>
      <c r="E229">
        <v>232</v>
      </c>
      <c r="F229" t="s">
        <v>14</v>
      </c>
      <c r="G229" s="2">
        <f t="shared" si="9"/>
        <v>811060.6</v>
      </c>
      <c r="H229" s="1">
        <f t="shared" si="10"/>
        <v>262</v>
      </c>
    </row>
    <row r="230" spans="1:8">
      <c r="A230" s="1">
        <v>229</v>
      </c>
      <c r="B230" t="str">
        <f t="shared" si="11"/>
        <v>Metro Corridor Extension</v>
      </c>
      <c r="C230" t="s">
        <v>6</v>
      </c>
      <c r="D230" s="2">
        <v>833674</v>
      </c>
      <c r="E230">
        <v>109</v>
      </c>
      <c r="F230" t="s">
        <v>14</v>
      </c>
      <c r="G230" s="2">
        <f t="shared" si="9"/>
        <v>958725.1</v>
      </c>
      <c r="H230" s="1">
        <f t="shared" si="10"/>
        <v>139</v>
      </c>
    </row>
    <row r="231" spans="1:8">
      <c r="A231" s="1">
        <v>230</v>
      </c>
      <c r="B231" t="str">
        <f t="shared" si="11"/>
        <v>Smart Grid Substation</v>
      </c>
      <c r="C231" t="s">
        <v>6</v>
      </c>
      <c r="D231" s="2">
        <v>838980</v>
      </c>
      <c r="E231">
        <v>225</v>
      </c>
      <c r="F231" t="s">
        <v>14</v>
      </c>
      <c r="G231" s="2">
        <f t="shared" si="9"/>
        <v>964827</v>
      </c>
      <c r="H231" s="1">
        <f t="shared" si="10"/>
        <v>255</v>
      </c>
    </row>
    <row r="232" spans="1:8">
      <c r="A232" s="1">
        <v>231</v>
      </c>
      <c r="B232" t="str">
        <f t="shared" si="11"/>
        <v>Elevated Flyover Construction</v>
      </c>
      <c r="C232" t="s">
        <v>8</v>
      </c>
      <c r="D232" s="2">
        <v>246053</v>
      </c>
      <c r="E232">
        <v>192</v>
      </c>
      <c r="F232" t="s">
        <v>13</v>
      </c>
      <c r="G232" s="2">
        <f t="shared" si="9"/>
        <v>233750.35</v>
      </c>
      <c r="H232" s="1">
        <f t="shared" si="10"/>
        <v>194</v>
      </c>
    </row>
    <row r="233" spans="1:8">
      <c r="A233" s="1">
        <v>232</v>
      </c>
      <c r="B233" t="str">
        <f t="shared" si="11"/>
        <v>Solar Power Plant Setup</v>
      </c>
      <c r="C233" t="s">
        <v>8</v>
      </c>
      <c r="D233" s="2">
        <v>463678</v>
      </c>
      <c r="E233">
        <v>228</v>
      </c>
      <c r="F233" t="s">
        <v>13</v>
      </c>
      <c r="G233" s="2">
        <f t="shared" si="9"/>
        <v>440494.1</v>
      </c>
      <c r="H233" s="1">
        <f t="shared" si="10"/>
        <v>230</v>
      </c>
    </row>
    <row r="234" spans="1:8">
      <c r="A234" s="1">
        <v>233</v>
      </c>
      <c r="B234" t="str">
        <f t="shared" si="11"/>
        <v>Water Treatment Pipeline</v>
      </c>
      <c r="C234" t="s">
        <v>4</v>
      </c>
      <c r="D234" s="2">
        <v>107257</v>
      </c>
      <c r="E234">
        <v>212</v>
      </c>
      <c r="F234" t="s">
        <v>13</v>
      </c>
      <c r="G234" s="2">
        <f t="shared" si="9"/>
        <v>101894.15</v>
      </c>
      <c r="H234" s="1">
        <f t="shared" si="10"/>
        <v>214</v>
      </c>
    </row>
    <row r="235" spans="1:8">
      <c r="A235" s="1">
        <v>234</v>
      </c>
      <c r="B235" t="str">
        <f t="shared" si="11"/>
        <v>National Highway Expansion</v>
      </c>
      <c r="C235" t="s">
        <v>4</v>
      </c>
      <c r="D235" s="2">
        <v>265434</v>
      </c>
      <c r="E235">
        <v>203</v>
      </c>
      <c r="F235" t="s">
        <v>13</v>
      </c>
      <c r="G235" s="2">
        <f t="shared" si="9"/>
        <v>252162.3</v>
      </c>
      <c r="H235" s="1">
        <f t="shared" si="10"/>
        <v>205</v>
      </c>
    </row>
    <row r="236" spans="1:8">
      <c r="A236" s="1">
        <v>235</v>
      </c>
      <c r="B236" t="str">
        <f t="shared" si="11"/>
        <v>Metro Corridor Extension</v>
      </c>
      <c r="C236" t="s">
        <v>7</v>
      </c>
      <c r="D236" s="2">
        <v>518309</v>
      </c>
      <c r="E236">
        <v>140</v>
      </c>
      <c r="F236" t="s">
        <v>13</v>
      </c>
      <c r="G236" s="2">
        <f t="shared" si="9"/>
        <v>492393.55</v>
      </c>
      <c r="H236" s="1">
        <f t="shared" si="10"/>
        <v>142</v>
      </c>
    </row>
    <row r="237" spans="1:8">
      <c r="A237" s="1">
        <v>236</v>
      </c>
      <c r="B237" t="str">
        <f t="shared" si="11"/>
        <v>Smart Grid Substation</v>
      </c>
      <c r="C237" t="s">
        <v>7</v>
      </c>
      <c r="D237" s="2">
        <v>234100</v>
      </c>
      <c r="E237">
        <v>187</v>
      </c>
      <c r="F237" t="s">
        <v>14</v>
      </c>
      <c r="G237" s="2">
        <f t="shared" si="9"/>
        <v>222395</v>
      </c>
      <c r="H237" s="1">
        <f t="shared" si="10"/>
        <v>217</v>
      </c>
    </row>
    <row r="238" spans="1:8">
      <c r="A238" s="1">
        <v>237</v>
      </c>
      <c r="B238" t="str">
        <f t="shared" si="11"/>
        <v>Elevated Flyover Construction</v>
      </c>
      <c r="C238" t="s">
        <v>4</v>
      </c>
      <c r="D238" s="2">
        <v>890870</v>
      </c>
      <c r="E238">
        <v>169</v>
      </c>
      <c r="F238" t="s">
        <v>13</v>
      </c>
      <c r="G238" s="2">
        <f t="shared" si="9"/>
        <v>846326.5</v>
      </c>
      <c r="H238" s="1">
        <f t="shared" si="10"/>
        <v>171</v>
      </c>
    </row>
    <row r="239" spans="1:8">
      <c r="A239" s="1">
        <v>238</v>
      </c>
      <c r="B239" t="str">
        <f t="shared" si="11"/>
        <v>Solar Power Plant Setup</v>
      </c>
      <c r="C239" t="s">
        <v>4</v>
      </c>
      <c r="D239" s="2">
        <v>860990</v>
      </c>
      <c r="E239">
        <v>124</v>
      </c>
      <c r="F239" t="s">
        <v>13</v>
      </c>
      <c r="G239" s="2">
        <f t="shared" si="9"/>
        <v>817940.5</v>
      </c>
      <c r="H239" s="1">
        <f t="shared" si="10"/>
        <v>126</v>
      </c>
    </row>
    <row r="240" spans="1:8">
      <c r="A240" s="1">
        <v>239</v>
      </c>
      <c r="B240" t="str">
        <f t="shared" si="11"/>
        <v>Water Treatment Pipeline</v>
      </c>
      <c r="C240" t="s">
        <v>7</v>
      </c>
      <c r="D240" s="2">
        <v>487085</v>
      </c>
      <c r="E240">
        <v>175</v>
      </c>
      <c r="F240" t="s">
        <v>14</v>
      </c>
      <c r="G240" s="2">
        <f t="shared" si="9"/>
        <v>462730.75</v>
      </c>
      <c r="H240" s="1">
        <f t="shared" si="10"/>
        <v>205</v>
      </c>
    </row>
    <row r="241" spans="1:8">
      <c r="A241" s="1">
        <v>240</v>
      </c>
      <c r="B241" t="str">
        <f t="shared" si="11"/>
        <v>National Highway Expansion</v>
      </c>
      <c r="C241" t="s">
        <v>4</v>
      </c>
      <c r="D241" s="2">
        <v>737296</v>
      </c>
      <c r="E241">
        <v>167</v>
      </c>
      <c r="F241" t="s">
        <v>13</v>
      </c>
      <c r="G241" s="2">
        <f t="shared" si="9"/>
        <v>700431.2</v>
      </c>
      <c r="H241" s="1">
        <f t="shared" si="10"/>
        <v>169</v>
      </c>
    </row>
    <row r="242" spans="1:8">
      <c r="A242" s="1">
        <v>241</v>
      </c>
      <c r="B242" t="str">
        <f t="shared" si="11"/>
        <v>Metro Corridor Extension</v>
      </c>
      <c r="C242" t="s">
        <v>7</v>
      </c>
      <c r="D242" s="2">
        <v>153874</v>
      </c>
      <c r="E242">
        <v>117</v>
      </c>
      <c r="F242" t="s">
        <v>13</v>
      </c>
      <c r="G242" s="2">
        <f t="shared" si="9"/>
        <v>146180.3</v>
      </c>
      <c r="H242" s="1">
        <f t="shared" si="10"/>
        <v>119</v>
      </c>
    </row>
    <row r="243" spans="1:8">
      <c r="A243" s="1">
        <v>242</v>
      </c>
      <c r="B243" t="str">
        <f t="shared" si="11"/>
        <v>Smart Grid Substation</v>
      </c>
      <c r="C243" t="s">
        <v>4</v>
      </c>
      <c r="D243" s="2">
        <v>823977</v>
      </c>
      <c r="E243">
        <v>232</v>
      </c>
      <c r="F243" t="s">
        <v>13</v>
      </c>
      <c r="G243" s="2">
        <f t="shared" si="9"/>
        <v>782778.15</v>
      </c>
      <c r="H243" s="1">
        <f t="shared" si="10"/>
        <v>234</v>
      </c>
    </row>
    <row r="244" spans="1:8">
      <c r="A244" s="1">
        <v>243</v>
      </c>
      <c r="B244" t="str">
        <f t="shared" si="11"/>
        <v>Elevated Flyover Construction</v>
      </c>
      <c r="C244" t="s">
        <v>7</v>
      </c>
      <c r="D244" s="2">
        <v>890906</v>
      </c>
      <c r="E244">
        <v>131</v>
      </c>
      <c r="F244" t="s">
        <v>13</v>
      </c>
      <c r="G244" s="2">
        <f t="shared" si="9"/>
        <v>846360.7</v>
      </c>
      <c r="H244" s="1">
        <f t="shared" si="10"/>
        <v>133</v>
      </c>
    </row>
    <row r="245" spans="1:8">
      <c r="A245" s="1">
        <v>244</v>
      </c>
      <c r="B245" t="str">
        <f t="shared" si="11"/>
        <v>Solar Power Plant Setup</v>
      </c>
      <c r="C245" t="s">
        <v>6</v>
      </c>
      <c r="D245" s="2">
        <v>335030</v>
      </c>
      <c r="E245">
        <v>130</v>
      </c>
      <c r="F245" t="s">
        <v>14</v>
      </c>
      <c r="G245" s="2">
        <f t="shared" si="9"/>
        <v>385284.5</v>
      </c>
      <c r="H245" s="1">
        <f t="shared" si="10"/>
        <v>160</v>
      </c>
    </row>
    <row r="246" spans="1:8">
      <c r="A246" s="1">
        <v>245</v>
      </c>
      <c r="B246" t="str">
        <f t="shared" si="11"/>
        <v>Water Treatment Pipeline</v>
      </c>
      <c r="C246" t="s">
        <v>7</v>
      </c>
      <c r="D246" s="2">
        <v>154411</v>
      </c>
      <c r="E246">
        <v>205</v>
      </c>
      <c r="F246" t="s">
        <v>13</v>
      </c>
      <c r="G246" s="2">
        <f t="shared" si="9"/>
        <v>146690.45</v>
      </c>
      <c r="H246" s="1">
        <f t="shared" si="10"/>
        <v>207</v>
      </c>
    </row>
    <row r="247" spans="1:8">
      <c r="A247" s="1">
        <v>246</v>
      </c>
      <c r="B247" t="str">
        <f t="shared" si="11"/>
        <v>National Highway Expansion</v>
      </c>
      <c r="C247" t="s">
        <v>8</v>
      </c>
      <c r="D247" s="2">
        <v>620887</v>
      </c>
      <c r="E247">
        <v>232</v>
      </c>
      <c r="F247" t="s">
        <v>13</v>
      </c>
      <c r="G247" s="2">
        <f t="shared" si="9"/>
        <v>589842.65</v>
      </c>
      <c r="H247" s="1">
        <f t="shared" si="10"/>
        <v>234</v>
      </c>
    </row>
    <row r="248" spans="1:8">
      <c r="A248" s="1">
        <v>247</v>
      </c>
      <c r="B248" t="str">
        <f t="shared" si="11"/>
        <v>Metro Corridor Extension</v>
      </c>
      <c r="C248" t="s">
        <v>4</v>
      </c>
      <c r="D248" s="2">
        <v>798748</v>
      </c>
      <c r="E248">
        <v>108</v>
      </c>
      <c r="F248" t="s">
        <v>14</v>
      </c>
      <c r="G248" s="2">
        <f t="shared" si="9"/>
        <v>758810.6</v>
      </c>
      <c r="H248" s="1">
        <f t="shared" si="10"/>
        <v>138</v>
      </c>
    </row>
    <row r="249" spans="1:8">
      <c r="A249" s="1">
        <v>248</v>
      </c>
      <c r="B249" t="str">
        <f t="shared" si="11"/>
        <v>Smart Grid Substation</v>
      </c>
      <c r="C249" t="s">
        <v>8</v>
      </c>
      <c r="D249" s="2">
        <v>151090</v>
      </c>
      <c r="E249">
        <v>104</v>
      </c>
      <c r="F249" t="s">
        <v>14</v>
      </c>
      <c r="G249" s="2">
        <f t="shared" si="9"/>
        <v>143535.5</v>
      </c>
      <c r="H249" s="1">
        <f t="shared" si="10"/>
        <v>134</v>
      </c>
    </row>
    <row r="250" spans="1:8">
      <c r="A250" s="1">
        <v>249</v>
      </c>
      <c r="B250" t="str">
        <f t="shared" si="11"/>
        <v>Elevated Flyover Construction</v>
      </c>
      <c r="C250" t="s">
        <v>6</v>
      </c>
      <c r="D250" s="2">
        <v>214549</v>
      </c>
      <c r="E250">
        <v>142</v>
      </c>
      <c r="F250" t="s">
        <v>13</v>
      </c>
      <c r="G250" s="2">
        <f t="shared" si="9"/>
        <v>246731.35</v>
      </c>
      <c r="H250" s="1">
        <f t="shared" si="10"/>
        <v>144</v>
      </c>
    </row>
    <row r="251" spans="1:8">
      <c r="A251" s="1">
        <v>250</v>
      </c>
      <c r="B251" t="str">
        <f t="shared" si="11"/>
        <v>Solar Power Plant Setup</v>
      </c>
      <c r="C251" t="s">
        <v>7</v>
      </c>
      <c r="D251" s="2">
        <v>438989</v>
      </c>
      <c r="E251">
        <v>177</v>
      </c>
      <c r="F251" t="s">
        <v>14</v>
      </c>
      <c r="G251" s="2">
        <f t="shared" si="9"/>
        <v>417039.55</v>
      </c>
      <c r="H251" s="1">
        <f t="shared" si="10"/>
        <v>207</v>
      </c>
    </row>
    <row r="252" spans="1:8">
      <c r="A252" s="1">
        <v>251</v>
      </c>
      <c r="B252" t="str">
        <f t="shared" si="11"/>
        <v>Water Treatment Pipeline</v>
      </c>
      <c r="C252" t="s">
        <v>8</v>
      </c>
      <c r="D252" s="2">
        <v>802882</v>
      </c>
      <c r="E252">
        <v>195</v>
      </c>
      <c r="F252" t="s">
        <v>13</v>
      </c>
      <c r="G252" s="2">
        <f t="shared" si="9"/>
        <v>762737.9</v>
      </c>
      <c r="H252" s="1">
        <f t="shared" si="10"/>
        <v>197</v>
      </c>
    </row>
    <row r="253" spans="1:8">
      <c r="A253" s="1">
        <v>252</v>
      </c>
      <c r="B253" t="str">
        <f t="shared" si="11"/>
        <v>National Highway Expansion</v>
      </c>
      <c r="C253" t="s">
        <v>6</v>
      </c>
      <c r="D253" s="2">
        <v>431056</v>
      </c>
      <c r="E253">
        <v>237</v>
      </c>
      <c r="F253" t="s">
        <v>14</v>
      </c>
      <c r="G253" s="2">
        <f t="shared" si="9"/>
        <v>495714.4</v>
      </c>
      <c r="H253" s="1">
        <f t="shared" si="10"/>
        <v>267</v>
      </c>
    </row>
    <row r="254" spans="1:8">
      <c r="A254" s="1">
        <v>253</v>
      </c>
      <c r="B254" t="str">
        <f t="shared" si="11"/>
        <v>Metro Corridor Extension</v>
      </c>
      <c r="C254" t="s">
        <v>8</v>
      </c>
      <c r="D254" s="2">
        <v>889119</v>
      </c>
      <c r="E254">
        <v>189</v>
      </c>
      <c r="F254" t="s">
        <v>13</v>
      </c>
      <c r="G254" s="2">
        <f t="shared" si="9"/>
        <v>844663.05</v>
      </c>
      <c r="H254" s="1">
        <f t="shared" si="10"/>
        <v>191</v>
      </c>
    </row>
    <row r="255" spans="1:8">
      <c r="A255" s="1">
        <v>254</v>
      </c>
      <c r="B255" t="str">
        <f t="shared" si="11"/>
        <v>Smart Grid Substation</v>
      </c>
      <c r="C255" t="s">
        <v>8</v>
      </c>
      <c r="D255" s="2">
        <v>373904</v>
      </c>
      <c r="E255">
        <v>202</v>
      </c>
      <c r="F255" t="s">
        <v>13</v>
      </c>
      <c r="G255" s="2">
        <f t="shared" si="9"/>
        <v>355208.8</v>
      </c>
      <c r="H255" s="1">
        <f t="shared" si="10"/>
        <v>204</v>
      </c>
    </row>
    <row r="256" spans="1:8">
      <c r="A256" s="1">
        <v>255</v>
      </c>
      <c r="B256" t="str">
        <f t="shared" si="11"/>
        <v>Elevated Flyover Construction</v>
      </c>
      <c r="C256" t="s">
        <v>4</v>
      </c>
      <c r="D256" s="2">
        <v>293379</v>
      </c>
      <c r="E256">
        <v>164</v>
      </c>
      <c r="F256" t="s">
        <v>14</v>
      </c>
      <c r="G256" s="2">
        <f t="shared" si="9"/>
        <v>278710.05</v>
      </c>
      <c r="H256" s="1">
        <f t="shared" si="10"/>
        <v>194</v>
      </c>
    </row>
    <row r="257" spans="1:8">
      <c r="A257" s="1">
        <v>256</v>
      </c>
      <c r="B257" t="str">
        <f t="shared" si="11"/>
        <v>Solar Power Plant Setup</v>
      </c>
      <c r="C257" t="s">
        <v>4</v>
      </c>
      <c r="D257" s="2">
        <v>425966</v>
      </c>
      <c r="E257">
        <v>235</v>
      </c>
      <c r="F257" t="s">
        <v>14</v>
      </c>
      <c r="G257" s="2">
        <f t="shared" si="9"/>
        <v>404667.7</v>
      </c>
      <c r="H257" s="1">
        <f t="shared" si="10"/>
        <v>265</v>
      </c>
    </row>
    <row r="258" spans="1:8">
      <c r="A258" s="1">
        <v>257</v>
      </c>
      <c r="B258" t="str">
        <f t="shared" si="11"/>
        <v>Water Treatment Pipeline</v>
      </c>
      <c r="C258" t="s">
        <v>8</v>
      </c>
      <c r="D258" s="2">
        <v>242301</v>
      </c>
      <c r="E258">
        <v>110</v>
      </c>
      <c r="F258" t="s">
        <v>13</v>
      </c>
      <c r="G258" s="2">
        <f t="shared" ref="G258:G321" si="12">IF(C258="North",D258*1.15,D258*0.95)</f>
        <v>230185.95</v>
      </c>
      <c r="H258" s="1">
        <f t="shared" ref="H258:H321" si="13">IF(F258="Yes",E258+30,E258+2)</f>
        <v>112</v>
      </c>
    </row>
    <row r="259" spans="1:8">
      <c r="A259" s="1">
        <v>258</v>
      </c>
      <c r="B259" t="str">
        <f t="shared" ref="B259:B322" si="14">VLOOKUP(MOD(A259,6),$L$4:$M$9,2,FALSE)</f>
        <v>National Highway Expansion</v>
      </c>
      <c r="C259" t="s">
        <v>8</v>
      </c>
      <c r="D259" s="2">
        <v>673877</v>
      </c>
      <c r="E259">
        <v>115</v>
      </c>
      <c r="F259" t="s">
        <v>14</v>
      </c>
      <c r="G259" s="2">
        <f t="shared" si="12"/>
        <v>640183.15</v>
      </c>
      <c r="H259" s="1">
        <f t="shared" si="13"/>
        <v>145</v>
      </c>
    </row>
    <row r="260" spans="1:8">
      <c r="A260" s="1">
        <v>259</v>
      </c>
      <c r="B260" t="str">
        <f t="shared" si="14"/>
        <v>Metro Corridor Extension</v>
      </c>
      <c r="C260" t="s">
        <v>6</v>
      </c>
      <c r="D260" s="2">
        <v>481780</v>
      </c>
      <c r="E260">
        <v>182</v>
      </c>
      <c r="F260" t="s">
        <v>13</v>
      </c>
      <c r="G260" s="2">
        <f t="shared" si="12"/>
        <v>554047</v>
      </c>
      <c r="H260" s="1">
        <f t="shared" si="13"/>
        <v>184</v>
      </c>
    </row>
    <row r="261" spans="1:8">
      <c r="A261" s="1">
        <v>260</v>
      </c>
      <c r="B261" t="str">
        <f t="shared" si="14"/>
        <v>Smart Grid Substation</v>
      </c>
      <c r="C261" t="s">
        <v>6</v>
      </c>
      <c r="D261" s="2">
        <v>575998</v>
      </c>
      <c r="E261">
        <v>232</v>
      </c>
      <c r="F261" t="s">
        <v>14</v>
      </c>
      <c r="G261" s="2">
        <f t="shared" si="12"/>
        <v>662397.7</v>
      </c>
      <c r="H261" s="1">
        <f t="shared" si="13"/>
        <v>262</v>
      </c>
    </row>
    <row r="262" spans="1:8">
      <c r="A262" s="1">
        <v>261</v>
      </c>
      <c r="B262" t="str">
        <f t="shared" si="14"/>
        <v>Elevated Flyover Construction</v>
      </c>
      <c r="C262" t="s">
        <v>7</v>
      </c>
      <c r="D262" s="2">
        <v>545652</v>
      </c>
      <c r="E262">
        <v>112</v>
      </c>
      <c r="F262" t="s">
        <v>13</v>
      </c>
      <c r="G262" s="2">
        <f t="shared" si="12"/>
        <v>518369.4</v>
      </c>
      <c r="H262" s="1">
        <f t="shared" si="13"/>
        <v>114</v>
      </c>
    </row>
    <row r="263" spans="1:8">
      <c r="A263" s="1">
        <v>262</v>
      </c>
      <c r="B263" t="str">
        <f t="shared" si="14"/>
        <v>Solar Power Plant Setup</v>
      </c>
      <c r="C263" t="s">
        <v>7</v>
      </c>
      <c r="D263" s="2">
        <v>522451</v>
      </c>
      <c r="E263">
        <v>146</v>
      </c>
      <c r="F263" t="s">
        <v>14</v>
      </c>
      <c r="G263" s="2">
        <f t="shared" si="12"/>
        <v>496328.45</v>
      </c>
      <c r="H263" s="1">
        <f t="shared" si="13"/>
        <v>176</v>
      </c>
    </row>
    <row r="264" spans="1:8">
      <c r="A264" s="1">
        <v>263</v>
      </c>
      <c r="B264" t="str">
        <f t="shared" si="14"/>
        <v>Water Treatment Pipeline</v>
      </c>
      <c r="C264" t="s">
        <v>8</v>
      </c>
      <c r="D264" s="2">
        <v>150019</v>
      </c>
      <c r="E264">
        <v>127</v>
      </c>
      <c r="F264" t="s">
        <v>13</v>
      </c>
      <c r="G264" s="2">
        <f t="shared" si="12"/>
        <v>142518.05</v>
      </c>
      <c r="H264" s="1">
        <f t="shared" si="13"/>
        <v>129</v>
      </c>
    </row>
    <row r="265" spans="1:8">
      <c r="A265" s="1">
        <v>264</v>
      </c>
      <c r="B265" t="str">
        <f t="shared" si="14"/>
        <v>National Highway Expansion</v>
      </c>
      <c r="C265" t="s">
        <v>8</v>
      </c>
      <c r="D265" s="2">
        <v>835401</v>
      </c>
      <c r="E265">
        <v>196</v>
      </c>
      <c r="F265" t="s">
        <v>14</v>
      </c>
      <c r="G265" s="2">
        <f t="shared" si="12"/>
        <v>793630.95</v>
      </c>
      <c r="H265" s="1">
        <f t="shared" si="13"/>
        <v>226</v>
      </c>
    </row>
    <row r="266" spans="1:8">
      <c r="A266" s="1">
        <v>265</v>
      </c>
      <c r="B266" t="str">
        <f t="shared" si="14"/>
        <v>Metro Corridor Extension</v>
      </c>
      <c r="C266" t="s">
        <v>4</v>
      </c>
      <c r="D266" s="2">
        <v>601013</v>
      </c>
      <c r="E266">
        <v>96</v>
      </c>
      <c r="F266" t="s">
        <v>14</v>
      </c>
      <c r="G266" s="2">
        <f t="shared" si="12"/>
        <v>570962.35</v>
      </c>
      <c r="H266" s="1">
        <f t="shared" si="13"/>
        <v>126</v>
      </c>
    </row>
    <row r="267" spans="1:8">
      <c r="A267" s="1">
        <v>266</v>
      </c>
      <c r="B267" t="str">
        <f t="shared" si="14"/>
        <v>Smart Grid Substation</v>
      </c>
      <c r="C267" t="s">
        <v>5</v>
      </c>
      <c r="D267" s="2">
        <v>428730</v>
      </c>
      <c r="E267">
        <v>232</v>
      </c>
      <c r="F267" t="s">
        <v>13</v>
      </c>
      <c r="G267" s="2">
        <f t="shared" si="12"/>
        <v>407293.5</v>
      </c>
      <c r="H267" s="1">
        <f t="shared" si="13"/>
        <v>234</v>
      </c>
    </row>
    <row r="268" spans="1:8">
      <c r="A268" s="1">
        <v>267</v>
      </c>
      <c r="B268" t="str">
        <f t="shared" si="14"/>
        <v>Elevated Flyover Construction</v>
      </c>
      <c r="C268" t="s">
        <v>6</v>
      </c>
      <c r="D268" s="2">
        <v>281147</v>
      </c>
      <c r="E268">
        <v>151</v>
      </c>
      <c r="F268" t="s">
        <v>14</v>
      </c>
      <c r="G268" s="2">
        <f t="shared" si="12"/>
        <v>323319.05</v>
      </c>
      <c r="H268" s="1">
        <f t="shared" si="13"/>
        <v>181</v>
      </c>
    </row>
    <row r="269" spans="1:8">
      <c r="A269" s="1">
        <v>268</v>
      </c>
      <c r="B269" t="str">
        <f t="shared" si="14"/>
        <v>Solar Power Plant Setup</v>
      </c>
      <c r="C269" t="s">
        <v>4</v>
      </c>
      <c r="D269" s="2">
        <v>583133</v>
      </c>
      <c r="E269">
        <v>232</v>
      </c>
      <c r="F269" t="s">
        <v>14</v>
      </c>
      <c r="G269" s="2">
        <f t="shared" si="12"/>
        <v>553976.35</v>
      </c>
      <c r="H269" s="1">
        <f t="shared" si="13"/>
        <v>262</v>
      </c>
    </row>
    <row r="270" spans="1:8">
      <c r="A270" s="1">
        <v>269</v>
      </c>
      <c r="B270" t="str">
        <f t="shared" si="14"/>
        <v>Water Treatment Pipeline</v>
      </c>
      <c r="C270" t="s">
        <v>7</v>
      </c>
      <c r="D270" s="2">
        <v>563522</v>
      </c>
      <c r="E270">
        <v>114</v>
      </c>
      <c r="F270" t="s">
        <v>13</v>
      </c>
      <c r="G270" s="2">
        <f t="shared" si="12"/>
        <v>535345.9</v>
      </c>
      <c r="H270" s="1">
        <f t="shared" si="13"/>
        <v>116</v>
      </c>
    </row>
    <row r="271" spans="1:8">
      <c r="A271" s="1">
        <v>270</v>
      </c>
      <c r="B271" t="str">
        <f t="shared" si="14"/>
        <v>National Highway Expansion</v>
      </c>
      <c r="C271" t="s">
        <v>6</v>
      </c>
      <c r="D271" s="2">
        <v>634729</v>
      </c>
      <c r="E271">
        <v>232</v>
      </c>
      <c r="F271" t="s">
        <v>14</v>
      </c>
      <c r="G271" s="2">
        <f t="shared" si="12"/>
        <v>729938.35</v>
      </c>
      <c r="H271" s="1">
        <f t="shared" si="13"/>
        <v>262</v>
      </c>
    </row>
    <row r="272" spans="1:8">
      <c r="A272" s="1">
        <v>271</v>
      </c>
      <c r="B272" t="str">
        <f t="shared" si="14"/>
        <v>Metro Corridor Extension</v>
      </c>
      <c r="C272" t="s">
        <v>7</v>
      </c>
      <c r="D272" s="2">
        <v>437152</v>
      </c>
      <c r="E272">
        <v>232</v>
      </c>
      <c r="F272" t="s">
        <v>13</v>
      </c>
      <c r="G272" s="2">
        <f t="shared" si="12"/>
        <v>415294.4</v>
      </c>
      <c r="H272" s="1">
        <f t="shared" si="13"/>
        <v>234</v>
      </c>
    </row>
    <row r="273" spans="1:8">
      <c r="A273" s="1">
        <v>272</v>
      </c>
      <c r="B273" t="str">
        <f t="shared" si="14"/>
        <v>Smart Grid Substation</v>
      </c>
      <c r="C273" t="s">
        <v>4</v>
      </c>
      <c r="D273" s="2">
        <v>709481</v>
      </c>
      <c r="E273">
        <v>232</v>
      </c>
      <c r="F273" t="s">
        <v>14</v>
      </c>
      <c r="G273" s="2">
        <f t="shared" si="12"/>
        <v>674006.95</v>
      </c>
      <c r="H273" s="1">
        <f t="shared" si="13"/>
        <v>262</v>
      </c>
    </row>
    <row r="274" spans="1:8">
      <c r="A274" s="1">
        <v>273</v>
      </c>
      <c r="B274" t="str">
        <f t="shared" si="14"/>
        <v>Elevated Flyover Construction</v>
      </c>
      <c r="C274" t="s">
        <v>8</v>
      </c>
      <c r="D274" s="2">
        <v>555002</v>
      </c>
      <c r="E274">
        <v>141</v>
      </c>
      <c r="F274" t="s">
        <v>13</v>
      </c>
      <c r="G274" s="2">
        <f t="shared" si="12"/>
        <v>527251.9</v>
      </c>
      <c r="H274" s="1">
        <f t="shared" si="13"/>
        <v>143</v>
      </c>
    </row>
    <row r="275" spans="1:8">
      <c r="A275" s="1">
        <v>274</v>
      </c>
      <c r="B275" t="str">
        <f t="shared" si="14"/>
        <v>Solar Power Plant Setup</v>
      </c>
      <c r="C275" t="s">
        <v>7</v>
      </c>
      <c r="D275" s="2">
        <v>117258</v>
      </c>
      <c r="E275">
        <v>178</v>
      </c>
      <c r="F275" t="s">
        <v>14</v>
      </c>
      <c r="G275" s="2">
        <f t="shared" si="12"/>
        <v>111395.1</v>
      </c>
      <c r="H275" s="1">
        <f t="shared" si="13"/>
        <v>208</v>
      </c>
    </row>
    <row r="276" spans="1:8">
      <c r="A276" s="1">
        <v>275</v>
      </c>
      <c r="B276" t="str">
        <f t="shared" si="14"/>
        <v>Water Treatment Pipeline</v>
      </c>
      <c r="C276" t="s">
        <v>8</v>
      </c>
      <c r="D276" s="2">
        <v>580149</v>
      </c>
      <c r="E276">
        <v>239</v>
      </c>
      <c r="F276" t="s">
        <v>14</v>
      </c>
      <c r="G276" s="2">
        <f t="shared" si="12"/>
        <v>551141.55</v>
      </c>
      <c r="H276" s="1">
        <f t="shared" si="13"/>
        <v>269</v>
      </c>
    </row>
    <row r="277" spans="1:8">
      <c r="A277" s="1">
        <v>276</v>
      </c>
      <c r="B277" t="str">
        <f t="shared" si="14"/>
        <v>National Highway Expansion</v>
      </c>
      <c r="C277" t="s">
        <v>8</v>
      </c>
      <c r="D277" s="2">
        <v>259756</v>
      </c>
      <c r="E277">
        <v>136</v>
      </c>
      <c r="F277" t="s">
        <v>14</v>
      </c>
      <c r="G277" s="2">
        <f t="shared" si="12"/>
        <v>246768.2</v>
      </c>
      <c r="H277" s="1">
        <f t="shared" si="13"/>
        <v>166</v>
      </c>
    </row>
    <row r="278" spans="1:8">
      <c r="A278" s="1">
        <v>277</v>
      </c>
      <c r="B278" t="str">
        <f t="shared" si="14"/>
        <v>Metro Corridor Extension</v>
      </c>
      <c r="C278" t="s">
        <v>6</v>
      </c>
      <c r="D278" s="2">
        <v>603682</v>
      </c>
      <c r="E278">
        <v>228</v>
      </c>
      <c r="F278" t="s">
        <v>14</v>
      </c>
      <c r="G278" s="2">
        <f t="shared" si="12"/>
        <v>694234.3</v>
      </c>
      <c r="H278" s="1">
        <f t="shared" si="13"/>
        <v>258</v>
      </c>
    </row>
    <row r="279" spans="1:8">
      <c r="A279" s="1">
        <v>278</v>
      </c>
      <c r="B279" t="str">
        <f t="shared" si="14"/>
        <v>Smart Grid Substation</v>
      </c>
      <c r="C279" t="s">
        <v>7</v>
      </c>
      <c r="D279" s="2">
        <v>482862</v>
      </c>
      <c r="E279">
        <v>171</v>
      </c>
      <c r="F279" t="s">
        <v>14</v>
      </c>
      <c r="G279" s="2">
        <f t="shared" si="12"/>
        <v>458718.9</v>
      </c>
      <c r="H279" s="1">
        <f t="shared" si="13"/>
        <v>201</v>
      </c>
    </row>
    <row r="280" spans="1:8">
      <c r="A280" s="1">
        <v>279</v>
      </c>
      <c r="B280" t="str">
        <f t="shared" si="14"/>
        <v>Elevated Flyover Construction</v>
      </c>
      <c r="C280" t="s">
        <v>6</v>
      </c>
      <c r="D280" s="2">
        <v>308567</v>
      </c>
      <c r="E280">
        <v>155</v>
      </c>
      <c r="F280" t="s">
        <v>13</v>
      </c>
      <c r="G280" s="2">
        <f t="shared" si="12"/>
        <v>354852.05</v>
      </c>
      <c r="H280" s="1">
        <f t="shared" si="13"/>
        <v>157</v>
      </c>
    </row>
    <row r="281" spans="1:8">
      <c r="A281" s="1">
        <v>280</v>
      </c>
      <c r="B281" t="str">
        <f t="shared" si="14"/>
        <v>Solar Power Plant Setup</v>
      </c>
      <c r="C281" t="s">
        <v>7</v>
      </c>
      <c r="D281" s="2">
        <v>732213</v>
      </c>
      <c r="E281">
        <v>111</v>
      </c>
      <c r="F281" t="s">
        <v>14</v>
      </c>
      <c r="G281" s="2">
        <f t="shared" si="12"/>
        <v>695602.35</v>
      </c>
      <c r="H281" s="1">
        <f t="shared" si="13"/>
        <v>141</v>
      </c>
    </row>
    <row r="282" spans="1:8">
      <c r="A282" s="1">
        <v>281</v>
      </c>
      <c r="B282" t="str">
        <f t="shared" si="14"/>
        <v>Water Treatment Pipeline</v>
      </c>
      <c r="C282" t="s">
        <v>4</v>
      </c>
      <c r="D282" s="2">
        <v>493189</v>
      </c>
      <c r="E282">
        <v>174</v>
      </c>
      <c r="F282" t="s">
        <v>13</v>
      </c>
      <c r="G282" s="2">
        <f t="shared" si="12"/>
        <v>468529.55</v>
      </c>
      <c r="H282" s="1">
        <f t="shared" si="13"/>
        <v>176</v>
      </c>
    </row>
    <row r="283" spans="1:8">
      <c r="A283" s="1">
        <v>282</v>
      </c>
      <c r="B283" t="str">
        <f t="shared" si="14"/>
        <v>National Highway Expansion</v>
      </c>
      <c r="C283" t="s">
        <v>6</v>
      </c>
      <c r="D283" s="2">
        <v>366066</v>
      </c>
      <c r="E283">
        <v>161</v>
      </c>
      <c r="F283" t="s">
        <v>14</v>
      </c>
      <c r="G283" s="2">
        <f t="shared" si="12"/>
        <v>420975.9</v>
      </c>
      <c r="H283" s="1">
        <f t="shared" si="13"/>
        <v>191</v>
      </c>
    </row>
    <row r="284" spans="1:8">
      <c r="A284" s="1">
        <v>283</v>
      </c>
      <c r="B284" t="str">
        <f t="shared" si="14"/>
        <v>Metro Corridor Extension</v>
      </c>
      <c r="C284" t="s">
        <v>7</v>
      </c>
      <c r="D284" s="2">
        <v>706133</v>
      </c>
      <c r="E284">
        <v>200</v>
      </c>
      <c r="F284" t="s">
        <v>14</v>
      </c>
      <c r="G284" s="2">
        <f t="shared" si="12"/>
        <v>670826.35</v>
      </c>
      <c r="H284" s="1">
        <f t="shared" si="13"/>
        <v>230</v>
      </c>
    </row>
    <row r="285" spans="1:8">
      <c r="A285" s="1">
        <v>284</v>
      </c>
      <c r="B285" t="str">
        <f t="shared" si="14"/>
        <v>Smart Grid Substation</v>
      </c>
      <c r="C285" t="s">
        <v>4</v>
      </c>
      <c r="D285" s="2">
        <v>161265</v>
      </c>
      <c r="E285">
        <v>102</v>
      </c>
      <c r="F285" t="s">
        <v>13</v>
      </c>
      <c r="G285" s="2">
        <f t="shared" si="12"/>
        <v>153201.75</v>
      </c>
      <c r="H285" s="1">
        <f t="shared" si="13"/>
        <v>104</v>
      </c>
    </row>
    <row r="286" spans="1:8">
      <c r="A286" s="1">
        <v>285</v>
      </c>
      <c r="B286" t="str">
        <f t="shared" si="14"/>
        <v>Elevated Flyover Construction</v>
      </c>
      <c r="C286" t="s">
        <v>7</v>
      </c>
      <c r="D286" s="2">
        <v>693654</v>
      </c>
      <c r="E286">
        <v>172</v>
      </c>
      <c r="F286" t="s">
        <v>13</v>
      </c>
      <c r="G286" s="2">
        <f t="shared" si="12"/>
        <v>658971.3</v>
      </c>
      <c r="H286" s="1">
        <f t="shared" si="13"/>
        <v>174</v>
      </c>
    </row>
    <row r="287" spans="1:8">
      <c r="A287" s="1">
        <v>286</v>
      </c>
      <c r="B287" t="str">
        <f t="shared" si="14"/>
        <v>Solar Power Plant Setup</v>
      </c>
      <c r="C287" t="s">
        <v>6</v>
      </c>
      <c r="D287" s="2">
        <v>877811</v>
      </c>
      <c r="E287">
        <v>104</v>
      </c>
      <c r="F287" t="s">
        <v>13</v>
      </c>
      <c r="G287" s="2">
        <f t="shared" si="12"/>
        <v>1009482.65</v>
      </c>
      <c r="H287" s="1">
        <f t="shared" si="13"/>
        <v>106</v>
      </c>
    </row>
    <row r="288" spans="1:8">
      <c r="A288" s="1">
        <v>287</v>
      </c>
      <c r="B288" t="str">
        <f t="shared" si="14"/>
        <v>Water Treatment Pipeline</v>
      </c>
      <c r="C288" t="s">
        <v>7</v>
      </c>
      <c r="D288" s="2">
        <v>223737</v>
      </c>
      <c r="E288">
        <v>239</v>
      </c>
      <c r="F288" t="s">
        <v>13</v>
      </c>
      <c r="G288" s="2">
        <f t="shared" si="12"/>
        <v>212550.15</v>
      </c>
      <c r="H288" s="1">
        <f t="shared" si="13"/>
        <v>241</v>
      </c>
    </row>
    <row r="289" spans="1:8">
      <c r="A289" s="1">
        <v>288</v>
      </c>
      <c r="B289" t="str">
        <f t="shared" si="14"/>
        <v>National Highway Expansion</v>
      </c>
      <c r="C289" t="s">
        <v>7</v>
      </c>
      <c r="D289" s="2">
        <v>157910</v>
      </c>
      <c r="E289">
        <v>185</v>
      </c>
      <c r="F289" t="s">
        <v>13</v>
      </c>
      <c r="G289" s="2">
        <f t="shared" si="12"/>
        <v>150014.5</v>
      </c>
      <c r="H289" s="1">
        <f t="shared" si="13"/>
        <v>187</v>
      </c>
    </row>
    <row r="290" spans="1:8">
      <c r="A290" s="1">
        <v>289</v>
      </c>
      <c r="B290" t="str">
        <f t="shared" si="14"/>
        <v>Metro Corridor Extension</v>
      </c>
      <c r="C290" t="s">
        <v>4</v>
      </c>
      <c r="D290" s="2">
        <v>819720</v>
      </c>
      <c r="E290">
        <v>116</v>
      </c>
      <c r="F290" t="s">
        <v>14</v>
      </c>
      <c r="G290" s="2">
        <f t="shared" si="12"/>
        <v>778734</v>
      </c>
      <c r="H290" s="1">
        <f t="shared" si="13"/>
        <v>146</v>
      </c>
    </row>
    <row r="291" spans="1:8">
      <c r="A291" s="1">
        <v>290</v>
      </c>
      <c r="B291" t="str">
        <f t="shared" si="14"/>
        <v>Smart Grid Substation</v>
      </c>
      <c r="C291" t="s">
        <v>7</v>
      </c>
      <c r="D291" s="2">
        <v>838773</v>
      </c>
      <c r="E291">
        <v>93</v>
      </c>
      <c r="F291" t="s">
        <v>13</v>
      </c>
      <c r="G291" s="2">
        <f t="shared" si="12"/>
        <v>796834.35</v>
      </c>
      <c r="H291" s="1">
        <f t="shared" si="13"/>
        <v>95</v>
      </c>
    </row>
    <row r="292" spans="1:8">
      <c r="A292" s="1">
        <v>291</v>
      </c>
      <c r="B292" t="str">
        <f t="shared" si="14"/>
        <v>Elevated Flyover Construction</v>
      </c>
      <c r="C292" t="s">
        <v>4</v>
      </c>
      <c r="D292" s="2">
        <v>543268</v>
      </c>
      <c r="E292">
        <v>95</v>
      </c>
      <c r="F292" t="s">
        <v>13</v>
      </c>
      <c r="G292" s="2">
        <f t="shared" si="12"/>
        <v>516104.6</v>
      </c>
      <c r="H292" s="1">
        <f t="shared" si="13"/>
        <v>97</v>
      </c>
    </row>
    <row r="293" spans="1:8">
      <c r="A293" s="1">
        <v>292</v>
      </c>
      <c r="B293" t="str">
        <f t="shared" si="14"/>
        <v>Solar Power Plant Setup</v>
      </c>
      <c r="C293" t="s">
        <v>6</v>
      </c>
      <c r="D293" s="2">
        <v>703856</v>
      </c>
      <c r="E293">
        <v>188</v>
      </c>
      <c r="F293" t="s">
        <v>14</v>
      </c>
      <c r="G293" s="2">
        <f t="shared" si="12"/>
        <v>809434.4</v>
      </c>
      <c r="H293" s="1">
        <f t="shared" si="13"/>
        <v>218</v>
      </c>
    </row>
    <row r="294" spans="1:8">
      <c r="A294" s="1">
        <v>293</v>
      </c>
      <c r="B294" t="str">
        <f t="shared" si="14"/>
        <v>Water Treatment Pipeline</v>
      </c>
      <c r="C294" t="s">
        <v>6</v>
      </c>
      <c r="D294" s="2">
        <v>530813</v>
      </c>
      <c r="E294">
        <v>160</v>
      </c>
      <c r="F294" t="s">
        <v>13</v>
      </c>
      <c r="G294" s="2">
        <f t="shared" si="12"/>
        <v>610434.95</v>
      </c>
      <c r="H294" s="1">
        <f t="shared" si="13"/>
        <v>162</v>
      </c>
    </row>
    <row r="295" spans="1:8">
      <c r="A295" s="1">
        <v>294</v>
      </c>
      <c r="B295" t="str">
        <f t="shared" si="14"/>
        <v>National Highway Expansion</v>
      </c>
      <c r="C295" t="s">
        <v>6</v>
      </c>
      <c r="D295" s="2">
        <v>754790</v>
      </c>
      <c r="E295">
        <v>233</v>
      </c>
      <c r="F295" t="s">
        <v>13</v>
      </c>
      <c r="G295" s="2">
        <f t="shared" si="12"/>
        <v>868008.5</v>
      </c>
      <c r="H295" s="1">
        <f t="shared" si="13"/>
        <v>235</v>
      </c>
    </row>
    <row r="296" spans="1:8">
      <c r="A296" s="1">
        <v>295</v>
      </c>
      <c r="B296" t="str">
        <f t="shared" si="14"/>
        <v>Metro Corridor Extension</v>
      </c>
      <c r="C296" t="s">
        <v>6</v>
      </c>
      <c r="D296" s="2">
        <v>110561</v>
      </c>
      <c r="E296">
        <v>120</v>
      </c>
      <c r="F296" t="s">
        <v>13</v>
      </c>
      <c r="G296" s="2">
        <f t="shared" si="12"/>
        <v>127145.15</v>
      </c>
      <c r="H296" s="1">
        <f t="shared" si="13"/>
        <v>122</v>
      </c>
    </row>
    <row r="297" spans="1:8">
      <c r="A297" s="1">
        <v>296</v>
      </c>
      <c r="B297" t="str">
        <f t="shared" si="14"/>
        <v>Smart Grid Substation</v>
      </c>
      <c r="C297" t="s">
        <v>6</v>
      </c>
      <c r="D297" s="2">
        <v>466653</v>
      </c>
      <c r="E297">
        <v>137</v>
      </c>
      <c r="F297" t="s">
        <v>13</v>
      </c>
      <c r="G297" s="2">
        <f t="shared" si="12"/>
        <v>536650.95</v>
      </c>
      <c r="H297" s="1">
        <f t="shared" si="13"/>
        <v>139</v>
      </c>
    </row>
    <row r="298" spans="1:8">
      <c r="A298" s="1">
        <v>297</v>
      </c>
      <c r="B298" t="str">
        <f t="shared" si="14"/>
        <v>Elevated Flyover Construction</v>
      </c>
      <c r="C298" t="s">
        <v>7</v>
      </c>
      <c r="D298" s="2">
        <v>712709</v>
      </c>
      <c r="E298">
        <v>154</v>
      </c>
      <c r="F298" t="s">
        <v>14</v>
      </c>
      <c r="G298" s="2">
        <f t="shared" si="12"/>
        <v>677073.55</v>
      </c>
      <c r="H298" s="1">
        <f t="shared" si="13"/>
        <v>184</v>
      </c>
    </row>
    <row r="299" spans="1:8">
      <c r="A299" s="1">
        <v>298</v>
      </c>
      <c r="B299" t="str">
        <f t="shared" si="14"/>
        <v>Solar Power Plant Setup</v>
      </c>
      <c r="C299" t="s">
        <v>4</v>
      </c>
      <c r="D299" s="2">
        <v>653781</v>
      </c>
      <c r="E299">
        <v>93</v>
      </c>
      <c r="F299" t="s">
        <v>13</v>
      </c>
      <c r="G299" s="2">
        <f t="shared" si="12"/>
        <v>621091.95</v>
      </c>
      <c r="H299" s="1">
        <f t="shared" si="13"/>
        <v>95</v>
      </c>
    </row>
    <row r="300" spans="1:8">
      <c r="A300" s="1">
        <v>299</v>
      </c>
      <c r="B300" t="str">
        <f t="shared" si="14"/>
        <v>Water Treatment Pipeline</v>
      </c>
      <c r="C300" t="s">
        <v>4</v>
      </c>
      <c r="D300" s="2">
        <v>286019</v>
      </c>
      <c r="E300">
        <v>134</v>
      </c>
      <c r="F300" t="s">
        <v>13</v>
      </c>
      <c r="G300" s="2">
        <f t="shared" si="12"/>
        <v>271718.05</v>
      </c>
      <c r="H300" s="1">
        <f t="shared" si="13"/>
        <v>136</v>
      </c>
    </row>
    <row r="301" spans="1:8">
      <c r="A301" s="1">
        <v>300</v>
      </c>
      <c r="B301" t="str">
        <f t="shared" si="14"/>
        <v>National Highway Expansion</v>
      </c>
      <c r="C301" t="s">
        <v>5</v>
      </c>
      <c r="D301" s="2">
        <v>145803</v>
      </c>
      <c r="E301">
        <v>169</v>
      </c>
      <c r="F301" t="s">
        <v>13</v>
      </c>
      <c r="G301" s="2">
        <f t="shared" si="12"/>
        <v>138512.85</v>
      </c>
      <c r="H301" s="1">
        <f t="shared" si="13"/>
        <v>171</v>
      </c>
    </row>
    <row r="302" spans="1:8">
      <c r="A302" s="1">
        <v>301</v>
      </c>
      <c r="B302" t="str">
        <f t="shared" si="14"/>
        <v>Metro Corridor Extension</v>
      </c>
      <c r="C302" t="s">
        <v>4</v>
      </c>
      <c r="D302" s="2">
        <v>340303</v>
      </c>
      <c r="E302">
        <v>163</v>
      </c>
      <c r="F302" t="s">
        <v>13</v>
      </c>
      <c r="G302" s="2">
        <f t="shared" si="12"/>
        <v>323287.85</v>
      </c>
      <c r="H302" s="1">
        <f t="shared" si="13"/>
        <v>165</v>
      </c>
    </row>
    <row r="303" spans="1:8">
      <c r="A303" s="1">
        <v>302</v>
      </c>
      <c r="B303" t="str">
        <f t="shared" si="14"/>
        <v>Smart Grid Substation</v>
      </c>
      <c r="C303" t="s">
        <v>8</v>
      </c>
      <c r="D303" s="2">
        <v>445652</v>
      </c>
      <c r="E303">
        <v>231</v>
      </c>
      <c r="F303" t="s">
        <v>13</v>
      </c>
      <c r="G303" s="2">
        <f t="shared" si="12"/>
        <v>423369.4</v>
      </c>
      <c r="H303" s="1">
        <f t="shared" si="13"/>
        <v>233</v>
      </c>
    </row>
    <row r="304" spans="1:8">
      <c r="A304" s="1">
        <v>303</v>
      </c>
      <c r="B304" t="str">
        <f t="shared" si="14"/>
        <v>Elevated Flyover Construction</v>
      </c>
      <c r="C304" t="s">
        <v>4</v>
      </c>
      <c r="D304" s="2">
        <v>234133</v>
      </c>
      <c r="E304">
        <v>132</v>
      </c>
      <c r="F304" t="s">
        <v>13</v>
      </c>
      <c r="G304" s="2">
        <f t="shared" si="12"/>
        <v>222426.35</v>
      </c>
      <c r="H304" s="1">
        <f t="shared" si="13"/>
        <v>134</v>
      </c>
    </row>
    <row r="305" spans="1:8">
      <c r="A305" s="1">
        <v>304</v>
      </c>
      <c r="B305" t="str">
        <f t="shared" si="14"/>
        <v>Solar Power Plant Setup</v>
      </c>
      <c r="C305" t="s">
        <v>8</v>
      </c>
      <c r="D305" s="2">
        <v>250889</v>
      </c>
      <c r="E305">
        <v>232</v>
      </c>
      <c r="F305" t="s">
        <v>13</v>
      </c>
      <c r="G305" s="2">
        <f t="shared" si="12"/>
        <v>238344.55</v>
      </c>
      <c r="H305" s="1">
        <f t="shared" si="13"/>
        <v>234</v>
      </c>
    </row>
    <row r="306" spans="1:8">
      <c r="A306" s="1">
        <v>305</v>
      </c>
      <c r="B306" t="str">
        <f t="shared" si="14"/>
        <v>Water Treatment Pipeline</v>
      </c>
      <c r="C306" t="s">
        <v>7</v>
      </c>
      <c r="D306" s="2">
        <v>661005</v>
      </c>
      <c r="E306">
        <v>95</v>
      </c>
      <c r="F306" t="s">
        <v>14</v>
      </c>
      <c r="G306" s="2">
        <f t="shared" si="12"/>
        <v>627954.75</v>
      </c>
      <c r="H306" s="1">
        <f t="shared" si="13"/>
        <v>125</v>
      </c>
    </row>
    <row r="307" spans="1:8">
      <c r="A307" s="1">
        <v>306</v>
      </c>
      <c r="B307" t="str">
        <f t="shared" si="14"/>
        <v>National Highway Expansion</v>
      </c>
      <c r="C307" t="s">
        <v>6</v>
      </c>
      <c r="D307" s="2">
        <v>792192</v>
      </c>
      <c r="E307">
        <v>121</v>
      </c>
      <c r="F307" t="s">
        <v>14</v>
      </c>
      <c r="G307" s="2">
        <f t="shared" si="12"/>
        <v>911020.8</v>
      </c>
      <c r="H307" s="1">
        <f t="shared" si="13"/>
        <v>151</v>
      </c>
    </row>
    <row r="308" spans="1:8">
      <c r="A308" s="1">
        <v>307</v>
      </c>
      <c r="B308" t="str">
        <f t="shared" si="14"/>
        <v>Metro Corridor Extension</v>
      </c>
      <c r="C308" t="s">
        <v>7</v>
      </c>
      <c r="D308" s="2">
        <v>409636</v>
      </c>
      <c r="E308">
        <v>196</v>
      </c>
      <c r="F308" t="s">
        <v>13</v>
      </c>
      <c r="G308" s="2">
        <f t="shared" si="12"/>
        <v>389154.2</v>
      </c>
      <c r="H308" s="1">
        <f t="shared" si="13"/>
        <v>198</v>
      </c>
    </row>
    <row r="309" spans="1:8">
      <c r="A309" s="1">
        <v>308</v>
      </c>
      <c r="B309" t="str">
        <f t="shared" si="14"/>
        <v>Smart Grid Substation</v>
      </c>
      <c r="C309" t="s">
        <v>7</v>
      </c>
      <c r="D309" s="2">
        <v>785745</v>
      </c>
      <c r="E309">
        <v>225</v>
      </c>
      <c r="F309" t="s">
        <v>13</v>
      </c>
      <c r="G309" s="2">
        <f t="shared" si="12"/>
        <v>746457.75</v>
      </c>
      <c r="H309" s="1">
        <f t="shared" si="13"/>
        <v>227</v>
      </c>
    </row>
    <row r="310" spans="1:8">
      <c r="A310" s="1">
        <v>309</v>
      </c>
      <c r="B310" t="str">
        <f t="shared" si="14"/>
        <v>Elevated Flyover Construction</v>
      </c>
      <c r="C310" t="s">
        <v>6</v>
      </c>
      <c r="D310" s="2">
        <v>648272</v>
      </c>
      <c r="E310">
        <v>98</v>
      </c>
      <c r="F310" t="s">
        <v>14</v>
      </c>
      <c r="G310" s="2">
        <f t="shared" si="12"/>
        <v>745512.8</v>
      </c>
      <c r="H310" s="1">
        <f t="shared" si="13"/>
        <v>128</v>
      </c>
    </row>
    <row r="311" spans="1:8">
      <c r="A311" s="1">
        <v>310</v>
      </c>
      <c r="B311" t="str">
        <f t="shared" si="14"/>
        <v>Solar Power Plant Setup</v>
      </c>
      <c r="C311" t="s">
        <v>6</v>
      </c>
      <c r="D311" s="2">
        <v>855568</v>
      </c>
      <c r="E311">
        <v>202</v>
      </c>
      <c r="F311" t="s">
        <v>13</v>
      </c>
      <c r="G311" s="2">
        <f t="shared" si="12"/>
        <v>983903.2</v>
      </c>
      <c r="H311" s="1">
        <f t="shared" si="13"/>
        <v>204</v>
      </c>
    </row>
    <row r="312" spans="1:8">
      <c r="A312" s="1">
        <v>311</v>
      </c>
      <c r="B312" t="str">
        <f t="shared" si="14"/>
        <v>Water Treatment Pipeline</v>
      </c>
      <c r="C312" t="s">
        <v>5</v>
      </c>
      <c r="D312" s="2">
        <v>542244</v>
      </c>
      <c r="E312">
        <v>94</v>
      </c>
      <c r="F312" t="s">
        <v>14</v>
      </c>
      <c r="G312" s="2">
        <f t="shared" si="12"/>
        <v>515131.8</v>
      </c>
      <c r="H312" s="1">
        <f t="shared" si="13"/>
        <v>124</v>
      </c>
    </row>
    <row r="313" spans="1:8">
      <c r="A313" s="1">
        <v>312</v>
      </c>
      <c r="B313" t="str">
        <f t="shared" si="14"/>
        <v>National Highway Expansion</v>
      </c>
      <c r="C313" t="s">
        <v>4</v>
      </c>
      <c r="D313" s="2">
        <v>136507</v>
      </c>
      <c r="E313">
        <v>233</v>
      </c>
      <c r="F313" t="s">
        <v>13</v>
      </c>
      <c r="G313" s="2">
        <f t="shared" si="12"/>
        <v>129681.65</v>
      </c>
      <c r="H313" s="1">
        <f t="shared" si="13"/>
        <v>235</v>
      </c>
    </row>
    <row r="314" spans="1:8">
      <c r="A314" s="1">
        <v>313</v>
      </c>
      <c r="B314" t="str">
        <f t="shared" si="14"/>
        <v>Metro Corridor Extension</v>
      </c>
      <c r="C314" t="s">
        <v>7</v>
      </c>
      <c r="D314" s="2">
        <v>272815</v>
      </c>
      <c r="E314">
        <v>117</v>
      </c>
      <c r="F314" t="s">
        <v>13</v>
      </c>
      <c r="G314" s="2">
        <f t="shared" si="12"/>
        <v>259174.25</v>
      </c>
      <c r="H314" s="1">
        <f t="shared" si="13"/>
        <v>119</v>
      </c>
    </row>
    <row r="315" spans="1:8">
      <c r="A315" s="1">
        <v>314</v>
      </c>
      <c r="B315" t="str">
        <f t="shared" si="14"/>
        <v>Smart Grid Substation</v>
      </c>
      <c r="C315" t="s">
        <v>8</v>
      </c>
      <c r="D315" s="2">
        <v>534118</v>
      </c>
      <c r="E315">
        <v>189</v>
      </c>
      <c r="F315" t="s">
        <v>13</v>
      </c>
      <c r="G315" s="2">
        <f t="shared" si="12"/>
        <v>507412.1</v>
      </c>
      <c r="H315" s="1">
        <f t="shared" si="13"/>
        <v>191</v>
      </c>
    </row>
    <row r="316" spans="1:8">
      <c r="A316" s="1">
        <v>315</v>
      </c>
      <c r="B316" t="str">
        <f t="shared" si="14"/>
        <v>Elevated Flyover Construction</v>
      </c>
      <c r="C316" t="s">
        <v>6</v>
      </c>
      <c r="D316" s="2">
        <v>263629</v>
      </c>
      <c r="E316">
        <v>183</v>
      </c>
      <c r="F316" t="s">
        <v>14</v>
      </c>
      <c r="G316" s="2">
        <f t="shared" si="12"/>
        <v>303173.35</v>
      </c>
      <c r="H316" s="1">
        <f t="shared" si="13"/>
        <v>213</v>
      </c>
    </row>
    <row r="317" spans="1:8">
      <c r="A317" s="1">
        <v>316</v>
      </c>
      <c r="B317" t="str">
        <f t="shared" si="14"/>
        <v>Solar Power Plant Setup</v>
      </c>
      <c r="C317" t="s">
        <v>8</v>
      </c>
      <c r="D317" s="2">
        <v>405886</v>
      </c>
      <c r="E317">
        <v>130</v>
      </c>
      <c r="F317" t="s">
        <v>14</v>
      </c>
      <c r="G317" s="2">
        <f t="shared" si="12"/>
        <v>385591.7</v>
      </c>
      <c r="H317" s="1">
        <f t="shared" si="13"/>
        <v>160</v>
      </c>
    </row>
    <row r="318" spans="1:8">
      <c r="A318" s="1">
        <v>317</v>
      </c>
      <c r="B318" t="str">
        <f t="shared" si="14"/>
        <v>Water Treatment Pipeline</v>
      </c>
      <c r="C318" t="s">
        <v>4</v>
      </c>
      <c r="D318" s="2">
        <v>188852</v>
      </c>
      <c r="E318">
        <v>199</v>
      </c>
      <c r="F318" t="s">
        <v>13</v>
      </c>
      <c r="G318" s="2">
        <f t="shared" si="12"/>
        <v>179409.4</v>
      </c>
      <c r="H318" s="1">
        <f t="shared" si="13"/>
        <v>201</v>
      </c>
    </row>
    <row r="319" spans="1:8">
      <c r="A319" s="1">
        <v>318</v>
      </c>
      <c r="B319" t="str">
        <f t="shared" si="14"/>
        <v>National Highway Expansion</v>
      </c>
      <c r="C319" t="s">
        <v>8</v>
      </c>
      <c r="D319" s="2">
        <v>791367</v>
      </c>
      <c r="E319">
        <v>108</v>
      </c>
      <c r="F319" t="s">
        <v>14</v>
      </c>
      <c r="G319" s="2">
        <f t="shared" si="12"/>
        <v>751798.65</v>
      </c>
      <c r="H319" s="1">
        <f t="shared" si="13"/>
        <v>138</v>
      </c>
    </row>
    <row r="320" spans="1:8">
      <c r="A320" s="1">
        <v>319</v>
      </c>
      <c r="B320" t="str">
        <f t="shared" si="14"/>
        <v>Metro Corridor Extension</v>
      </c>
      <c r="C320" t="s">
        <v>6</v>
      </c>
      <c r="D320" s="2">
        <v>462665</v>
      </c>
      <c r="E320">
        <v>172</v>
      </c>
      <c r="F320" t="s">
        <v>14</v>
      </c>
      <c r="G320" s="2">
        <f t="shared" si="12"/>
        <v>532064.75</v>
      </c>
      <c r="H320" s="1">
        <f t="shared" si="13"/>
        <v>202</v>
      </c>
    </row>
    <row r="321" spans="1:8">
      <c r="A321" s="1">
        <v>320</v>
      </c>
      <c r="B321" t="str">
        <f t="shared" si="14"/>
        <v>Smart Grid Substation</v>
      </c>
      <c r="C321" t="s">
        <v>7</v>
      </c>
      <c r="D321" s="2">
        <v>862997</v>
      </c>
      <c r="E321">
        <v>128</v>
      </c>
      <c r="F321" t="s">
        <v>13</v>
      </c>
      <c r="G321" s="2">
        <f t="shared" si="12"/>
        <v>819847.15</v>
      </c>
      <c r="H321" s="1">
        <f t="shared" si="13"/>
        <v>130</v>
      </c>
    </row>
    <row r="322" spans="1:8">
      <c r="A322" s="1">
        <v>321</v>
      </c>
      <c r="B322" t="str">
        <f t="shared" si="14"/>
        <v>Elevated Flyover Construction</v>
      </c>
      <c r="C322" t="s">
        <v>8</v>
      </c>
      <c r="D322" s="2">
        <v>319527</v>
      </c>
      <c r="E322">
        <v>184</v>
      </c>
      <c r="F322" t="s">
        <v>14</v>
      </c>
      <c r="G322" s="2">
        <f t="shared" ref="G322:G385" si="15">IF(C322="North",D322*1.15,D322*0.95)</f>
        <v>303550.65</v>
      </c>
      <c r="H322" s="1">
        <f t="shared" ref="H322:H385" si="16">IF(F322="Yes",E322+30,E322+2)</f>
        <v>214</v>
      </c>
    </row>
    <row r="323" spans="1:8">
      <c r="A323" s="1">
        <v>322</v>
      </c>
      <c r="B323" t="str">
        <f t="shared" ref="B323:B386" si="17">VLOOKUP(MOD(A323,6),$L$4:$M$9,2,FALSE)</f>
        <v>Solar Power Plant Setup</v>
      </c>
      <c r="C323" t="s">
        <v>4</v>
      </c>
      <c r="D323" s="2">
        <v>899950</v>
      </c>
      <c r="E323">
        <v>134</v>
      </c>
      <c r="F323" t="s">
        <v>13</v>
      </c>
      <c r="G323" s="2">
        <f t="shared" si="15"/>
        <v>854952.5</v>
      </c>
      <c r="H323" s="1">
        <f t="shared" si="16"/>
        <v>136</v>
      </c>
    </row>
    <row r="324" spans="1:8">
      <c r="A324" s="1">
        <v>323</v>
      </c>
      <c r="B324" t="str">
        <f t="shared" si="17"/>
        <v>Water Treatment Pipeline</v>
      </c>
      <c r="C324" t="s">
        <v>4</v>
      </c>
      <c r="D324" s="2">
        <v>303757</v>
      </c>
      <c r="E324">
        <v>139</v>
      </c>
      <c r="F324" t="s">
        <v>13</v>
      </c>
      <c r="G324" s="2">
        <f t="shared" si="15"/>
        <v>288569.15</v>
      </c>
      <c r="H324" s="1">
        <f t="shared" si="16"/>
        <v>141</v>
      </c>
    </row>
    <row r="325" spans="1:8">
      <c r="A325" s="1">
        <v>324</v>
      </c>
      <c r="B325" t="str">
        <f t="shared" si="17"/>
        <v>National Highway Expansion</v>
      </c>
      <c r="C325" t="s">
        <v>8</v>
      </c>
      <c r="D325" s="2">
        <v>361480</v>
      </c>
      <c r="E325">
        <v>194</v>
      </c>
      <c r="F325" t="s">
        <v>13</v>
      </c>
      <c r="G325" s="2">
        <f t="shared" si="15"/>
        <v>343406</v>
      </c>
      <c r="H325" s="1">
        <f t="shared" si="16"/>
        <v>196</v>
      </c>
    </row>
    <row r="326" spans="1:8">
      <c r="A326" s="1">
        <v>325</v>
      </c>
      <c r="B326" t="str">
        <f t="shared" si="17"/>
        <v>Metro Corridor Extension</v>
      </c>
      <c r="C326" t="s">
        <v>6</v>
      </c>
      <c r="D326" s="2">
        <v>302348</v>
      </c>
      <c r="E326">
        <v>232</v>
      </c>
      <c r="F326" t="s">
        <v>14</v>
      </c>
      <c r="G326" s="2">
        <f t="shared" si="15"/>
        <v>347700.2</v>
      </c>
      <c r="H326" s="1">
        <f t="shared" si="16"/>
        <v>262</v>
      </c>
    </row>
    <row r="327" spans="1:8">
      <c r="A327" s="1">
        <v>326</v>
      </c>
      <c r="B327" t="str">
        <f t="shared" si="17"/>
        <v>Smart Grid Substation</v>
      </c>
      <c r="C327" t="s">
        <v>4</v>
      </c>
      <c r="D327" s="2">
        <v>399211</v>
      </c>
      <c r="E327">
        <v>181</v>
      </c>
      <c r="F327" t="s">
        <v>14</v>
      </c>
      <c r="G327" s="2">
        <f t="shared" si="15"/>
        <v>379250.45</v>
      </c>
      <c r="H327" s="1">
        <f t="shared" si="16"/>
        <v>211</v>
      </c>
    </row>
    <row r="328" spans="1:8">
      <c r="A328" s="1">
        <v>327</v>
      </c>
      <c r="B328" t="str">
        <f t="shared" si="17"/>
        <v>Elevated Flyover Construction</v>
      </c>
      <c r="C328" t="s">
        <v>4</v>
      </c>
      <c r="D328" s="2">
        <v>554278</v>
      </c>
      <c r="E328">
        <v>204</v>
      </c>
      <c r="F328" t="s">
        <v>14</v>
      </c>
      <c r="G328" s="2">
        <f t="shared" si="15"/>
        <v>526564.1</v>
      </c>
      <c r="H328" s="1">
        <f t="shared" si="16"/>
        <v>234</v>
      </c>
    </row>
    <row r="329" spans="1:8">
      <c r="A329" s="1">
        <v>328</v>
      </c>
      <c r="B329" t="str">
        <f t="shared" si="17"/>
        <v>Solar Power Plant Setup</v>
      </c>
      <c r="C329" t="s">
        <v>4</v>
      </c>
      <c r="D329" s="2">
        <v>627607</v>
      </c>
      <c r="E329">
        <v>172</v>
      </c>
      <c r="F329" t="s">
        <v>14</v>
      </c>
      <c r="G329" s="2">
        <f t="shared" si="15"/>
        <v>596226.65</v>
      </c>
      <c r="H329" s="1">
        <f t="shared" si="16"/>
        <v>202</v>
      </c>
    </row>
    <row r="330" spans="1:8">
      <c r="A330" s="1">
        <v>329</v>
      </c>
      <c r="B330" t="str">
        <f t="shared" si="17"/>
        <v>Water Treatment Pipeline</v>
      </c>
      <c r="C330" t="s">
        <v>7</v>
      </c>
      <c r="D330" s="2">
        <v>192355</v>
      </c>
      <c r="E330">
        <v>172</v>
      </c>
      <c r="F330" t="s">
        <v>14</v>
      </c>
      <c r="G330" s="2">
        <f t="shared" si="15"/>
        <v>182737.25</v>
      </c>
      <c r="H330" s="1">
        <f t="shared" si="16"/>
        <v>202</v>
      </c>
    </row>
    <row r="331" spans="1:8">
      <c r="A331" s="1">
        <v>330</v>
      </c>
      <c r="B331" t="str">
        <f t="shared" si="17"/>
        <v>National Highway Expansion</v>
      </c>
      <c r="C331" t="s">
        <v>4</v>
      </c>
      <c r="D331" s="2">
        <v>433416</v>
      </c>
      <c r="E331">
        <v>232</v>
      </c>
      <c r="F331" t="s">
        <v>14</v>
      </c>
      <c r="G331" s="2">
        <f t="shared" si="15"/>
        <v>411745.2</v>
      </c>
      <c r="H331" s="1">
        <f t="shared" si="16"/>
        <v>262</v>
      </c>
    </row>
    <row r="332" spans="1:8">
      <c r="A332" s="1">
        <v>331</v>
      </c>
      <c r="B332" t="str">
        <f t="shared" si="17"/>
        <v>Metro Corridor Extension</v>
      </c>
      <c r="C332" t="s">
        <v>4</v>
      </c>
      <c r="D332" s="2">
        <v>427566</v>
      </c>
      <c r="E332">
        <v>141</v>
      </c>
      <c r="F332" t="s">
        <v>14</v>
      </c>
      <c r="G332" s="2">
        <f t="shared" si="15"/>
        <v>406187.7</v>
      </c>
      <c r="H332" s="1">
        <f t="shared" si="16"/>
        <v>171</v>
      </c>
    </row>
    <row r="333" spans="1:8">
      <c r="A333" s="1">
        <v>332</v>
      </c>
      <c r="B333" t="str">
        <f t="shared" si="17"/>
        <v>Smart Grid Substation</v>
      </c>
      <c r="C333" t="s">
        <v>6</v>
      </c>
      <c r="D333" s="2">
        <v>390238</v>
      </c>
      <c r="E333">
        <v>232</v>
      </c>
      <c r="F333" t="s">
        <v>13</v>
      </c>
      <c r="G333" s="2">
        <f t="shared" si="15"/>
        <v>448773.7</v>
      </c>
      <c r="H333" s="1">
        <f t="shared" si="16"/>
        <v>234</v>
      </c>
    </row>
    <row r="334" spans="1:8">
      <c r="A334" s="1">
        <v>333</v>
      </c>
      <c r="B334" t="str">
        <f t="shared" si="17"/>
        <v>Elevated Flyover Construction</v>
      </c>
      <c r="C334" t="s">
        <v>8</v>
      </c>
      <c r="D334" s="2">
        <v>801262</v>
      </c>
      <c r="E334">
        <v>144</v>
      </c>
      <c r="F334" t="s">
        <v>13</v>
      </c>
      <c r="G334" s="2">
        <f t="shared" si="15"/>
        <v>761198.9</v>
      </c>
      <c r="H334" s="1">
        <f t="shared" si="16"/>
        <v>146</v>
      </c>
    </row>
    <row r="335" spans="1:8">
      <c r="A335" s="1">
        <v>334</v>
      </c>
      <c r="B335" t="str">
        <f t="shared" si="17"/>
        <v>Solar Power Plant Setup</v>
      </c>
      <c r="C335" t="s">
        <v>7</v>
      </c>
      <c r="D335" s="2">
        <v>493306</v>
      </c>
      <c r="E335">
        <v>148</v>
      </c>
      <c r="F335" t="s">
        <v>14</v>
      </c>
      <c r="G335" s="2">
        <f t="shared" si="15"/>
        <v>468640.7</v>
      </c>
      <c r="H335" s="1">
        <f t="shared" si="16"/>
        <v>178</v>
      </c>
    </row>
    <row r="336" spans="1:8">
      <c r="A336" s="1">
        <v>335</v>
      </c>
      <c r="B336" t="str">
        <f t="shared" si="17"/>
        <v>Water Treatment Pipeline</v>
      </c>
      <c r="C336" t="s">
        <v>4</v>
      </c>
      <c r="D336" s="2">
        <v>494937</v>
      </c>
      <c r="E336">
        <v>204</v>
      </c>
      <c r="F336" t="s">
        <v>14</v>
      </c>
      <c r="G336" s="2">
        <f t="shared" si="15"/>
        <v>470190.15</v>
      </c>
      <c r="H336" s="1">
        <f t="shared" si="16"/>
        <v>234</v>
      </c>
    </row>
    <row r="337" spans="1:8">
      <c r="A337" s="1">
        <v>336</v>
      </c>
      <c r="B337" t="str">
        <f t="shared" si="17"/>
        <v>National Highway Expansion</v>
      </c>
      <c r="C337" t="s">
        <v>7</v>
      </c>
      <c r="D337" s="2">
        <v>492600</v>
      </c>
      <c r="E337">
        <v>211</v>
      </c>
      <c r="F337" t="s">
        <v>14</v>
      </c>
      <c r="G337" s="2">
        <f t="shared" si="15"/>
        <v>467970</v>
      </c>
      <c r="H337" s="1">
        <f t="shared" si="16"/>
        <v>241</v>
      </c>
    </row>
    <row r="338" spans="1:8">
      <c r="A338" s="1">
        <v>337</v>
      </c>
      <c r="B338" t="str">
        <f t="shared" si="17"/>
        <v>Metro Corridor Extension</v>
      </c>
      <c r="C338" t="s">
        <v>6</v>
      </c>
      <c r="D338" s="2">
        <v>663661</v>
      </c>
      <c r="E338">
        <v>179</v>
      </c>
      <c r="F338" t="s">
        <v>13</v>
      </c>
      <c r="G338" s="2">
        <f t="shared" si="15"/>
        <v>763210.15</v>
      </c>
      <c r="H338" s="1">
        <f t="shared" si="16"/>
        <v>181</v>
      </c>
    </row>
    <row r="339" spans="1:8">
      <c r="A339" s="1">
        <v>338</v>
      </c>
      <c r="B339" t="str">
        <f t="shared" si="17"/>
        <v>Smart Grid Substation</v>
      </c>
      <c r="C339" t="s">
        <v>7</v>
      </c>
      <c r="D339" s="2">
        <v>736847</v>
      </c>
      <c r="E339">
        <v>226</v>
      </c>
      <c r="F339" t="s">
        <v>13</v>
      </c>
      <c r="G339" s="2">
        <f t="shared" si="15"/>
        <v>700004.65</v>
      </c>
      <c r="H339" s="1">
        <f t="shared" si="16"/>
        <v>228</v>
      </c>
    </row>
    <row r="340" spans="1:8">
      <c r="A340" s="1">
        <v>339</v>
      </c>
      <c r="B340" t="str">
        <f t="shared" si="17"/>
        <v>Elevated Flyover Construction</v>
      </c>
      <c r="C340" t="s">
        <v>6</v>
      </c>
      <c r="D340" s="2">
        <v>539987</v>
      </c>
      <c r="E340">
        <v>187</v>
      </c>
      <c r="F340" t="s">
        <v>14</v>
      </c>
      <c r="G340" s="2">
        <f t="shared" si="15"/>
        <v>620985.05</v>
      </c>
      <c r="H340" s="1">
        <f t="shared" si="16"/>
        <v>217</v>
      </c>
    </row>
    <row r="341" spans="1:8">
      <c r="A341" s="1">
        <v>340</v>
      </c>
      <c r="B341" t="str">
        <f t="shared" si="17"/>
        <v>Solar Power Plant Setup</v>
      </c>
      <c r="C341" t="s">
        <v>8</v>
      </c>
      <c r="D341" s="2">
        <v>472740</v>
      </c>
      <c r="E341">
        <v>208</v>
      </c>
      <c r="F341" t="s">
        <v>13</v>
      </c>
      <c r="G341" s="2">
        <f t="shared" si="15"/>
        <v>449103</v>
      </c>
      <c r="H341" s="1">
        <f t="shared" si="16"/>
        <v>210</v>
      </c>
    </row>
    <row r="342" spans="1:8">
      <c r="A342" s="1">
        <v>341</v>
      </c>
      <c r="B342" t="str">
        <f t="shared" si="17"/>
        <v>Water Treatment Pipeline</v>
      </c>
      <c r="C342" t="s">
        <v>8</v>
      </c>
      <c r="D342" s="2">
        <v>621282</v>
      </c>
      <c r="E342">
        <v>232</v>
      </c>
      <c r="F342" t="s">
        <v>13</v>
      </c>
      <c r="G342" s="2">
        <f t="shared" si="15"/>
        <v>590217.9</v>
      </c>
      <c r="H342" s="1">
        <f t="shared" si="16"/>
        <v>234</v>
      </c>
    </row>
    <row r="343" spans="1:8">
      <c r="A343" s="1">
        <v>342</v>
      </c>
      <c r="B343" t="str">
        <f t="shared" si="17"/>
        <v>National Highway Expansion</v>
      </c>
      <c r="C343" t="s">
        <v>7</v>
      </c>
      <c r="D343" s="2">
        <v>516165</v>
      </c>
      <c r="E343">
        <v>187</v>
      </c>
      <c r="F343" t="s">
        <v>14</v>
      </c>
      <c r="G343" s="2">
        <f t="shared" si="15"/>
        <v>490356.75</v>
      </c>
      <c r="H343" s="1">
        <f t="shared" si="16"/>
        <v>217</v>
      </c>
    </row>
    <row r="344" spans="1:8">
      <c r="A344" s="1">
        <v>343</v>
      </c>
      <c r="B344" t="str">
        <f t="shared" si="17"/>
        <v>Metro Corridor Extension</v>
      </c>
      <c r="C344" t="s">
        <v>8</v>
      </c>
      <c r="D344" s="2">
        <v>692494</v>
      </c>
      <c r="E344">
        <v>234</v>
      </c>
      <c r="F344" t="s">
        <v>13</v>
      </c>
      <c r="G344" s="2">
        <f t="shared" si="15"/>
        <v>657869.3</v>
      </c>
      <c r="H344" s="1">
        <f t="shared" si="16"/>
        <v>236</v>
      </c>
    </row>
    <row r="345" spans="1:8">
      <c r="A345" s="1">
        <v>344</v>
      </c>
      <c r="B345" t="str">
        <f t="shared" si="17"/>
        <v>Smart Grid Substation</v>
      </c>
      <c r="C345" t="s">
        <v>6</v>
      </c>
      <c r="D345" s="2">
        <v>442445</v>
      </c>
      <c r="E345">
        <v>192</v>
      </c>
      <c r="F345" t="s">
        <v>13</v>
      </c>
      <c r="G345" s="2">
        <f t="shared" si="15"/>
        <v>508811.75</v>
      </c>
      <c r="H345" s="1">
        <f t="shared" si="16"/>
        <v>194</v>
      </c>
    </row>
    <row r="346" spans="1:8">
      <c r="A346" s="1">
        <v>345</v>
      </c>
      <c r="B346" t="str">
        <f t="shared" si="17"/>
        <v>Elevated Flyover Construction</v>
      </c>
      <c r="C346" t="s">
        <v>4</v>
      </c>
      <c r="D346" s="2">
        <v>184713</v>
      </c>
      <c r="E346">
        <v>155</v>
      </c>
      <c r="F346" t="s">
        <v>13</v>
      </c>
      <c r="G346" s="2">
        <f t="shared" si="15"/>
        <v>175477.35</v>
      </c>
      <c r="H346" s="1">
        <f t="shared" si="16"/>
        <v>157</v>
      </c>
    </row>
    <row r="347" spans="1:8">
      <c r="A347" s="1">
        <v>346</v>
      </c>
      <c r="B347" t="str">
        <f t="shared" si="17"/>
        <v>Solar Power Plant Setup</v>
      </c>
      <c r="C347" t="s">
        <v>5</v>
      </c>
      <c r="D347" s="2">
        <v>697569</v>
      </c>
      <c r="E347">
        <v>141</v>
      </c>
      <c r="F347" t="s">
        <v>13</v>
      </c>
      <c r="G347" s="2">
        <f t="shared" si="15"/>
        <v>662690.55</v>
      </c>
      <c r="H347" s="1">
        <f t="shared" si="16"/>
        <v>143</v>
      </c>
    </row>
    <row r="348" spans="1:8">
      <c r="A348" s="1">
        <v>347</v>
      </c>
      <c r="B348" t="str">
        <f t="shared" si="17"/>
        <v>Water Treatment Pipeline</v>
      </c>
      <c r="C348" t="s">
        <v>8</v>
      </c>
      <c r="D348" s="2">
        <v>615512</v>
      </c>
      <c r="E348">
        <v>196</v>
      </c>
      <c r="F348" t="s">
        <v>13</v>
      </c>
      <c r="G348" s="2">
        <f t="shared" si="15"/>
        <v>584736.4</v>
      </c>
      <c r="H348" s="1">
        <f t="shared" si="16"/>
        <v>198</v>
      </c>
    </row>
    <row r="349" spans="1:8">
      <c r="A349" s="1">
        <v>348</v>
      </c>
      <c r="B349" t="str">
        <f t="shared" si="17"/>
        <v>National Highway Expansion</v>
      </c>
      <c r="C349" t="s">
        <v>4</v>
      </c>
      <c r="D349" s="2">
        <v>757124</v>
      </c>
      <c r="E349">
        <v>144</v>
      </c>
      <c r="F349" t="s">
        <v>13</v>
      </c>
      <c r="G349" s="2">
        <f t="shared" si="15"/>
        <v>719267.8</v>
      </c>
      <c r="H349" s="1">
        <f t="shared" si="16"/>
        <v>146</v>
      </c>
    </row>
    <row r="350" spans="1:8">
      <c r="A350" s="1">
        <v>349</v>
      </c>
      <c r="B350" t="str">
        <f t="shared" si="17"/>
        <v>Metro Corridor Extension</v>
      </c>
      <c r="C350" t="s">
        <v>7</v>
      </c>
      <c r="D350" s="2">
        <v>500707</v>
      </c>
      <c r="E350">
        <v>232</v>
      </c>
      <c r="F350" t="s">
        <v>14</v>
      </c>
      <c r="G350" s="2">
        <f t="shared" si="15"/>
        <v>475671.65</v>
      </c>
      <c r="H350" s="1">
        <f t="shared" si="16"/>
        <v>262</v>
      </c>
    </row>
    <row r="351" spans="1:8">
      <c r="A351" s="1">
        <v>350</v>
      </c>
      <c r="B351" t="str">
        <f t="shared" si="17"/>
        <v>Smart Grid Substation</v>
      </c>
      <c r="C351" t="s">
        <v>6</v>
      </c>
      <c r="D351" s="2">
        <v>703083</v>
      </c>
      <c r="E351">
        <v>200</v>
      </c>
      <c r="F351" t="s">
        <v>14</v>
      </c>
      <c r="G351" s="2">
        <f t="shared" si="15"/>
        <v>808545.45</v>
      </c>
      <c r="H351" s="1">
        <f t="shared" si="16"/>
        <v>230</v>
      </c>
    </row>
    <row r="352" spans="1:8">
      <c r="A352" s="1">
        <v>351</v>
      </c>
      <c r="B352" t="str">
        <f t="shared" si="17"/>
        <v>Elevated Flyover Construction</v>
      </c>
      <c r="C352" t="s">
        <v>7</v>
      </c>
      <c r="D352" s="2">
        <v>741288</v>
      </c>
      <c r="E352">
        <v>109</v>
      </c>
      <c r="F352" t="s">
        <v>14</v>
      </c>
      <c r="G352" s="2">
        <f t="shared" si="15"/>
        <v>704223.6</v>
      </c>
      <c r="H352" s="1">
        <f t="shared" si="16"/>
        <v>139</v>
      </c>
    </row>
    <row r="353" spans="1:8">
      <c r="A353" s="1">
        <v>352</v>
      </c>
      <c r="B353" t="str">
        <f t="shared" si="17"/>
        <v>Solar Power Plant Setup</v>
      </c>
      <c r="C353" t="s">
        <v>6</v>
      </c>
      <c r="D353" s="2">
        <v>832246</v>
      </c>
      <c r="E353">
        <v>138</v>
      </c>
      <c r="F353" t="s">
        <v>14</v>
      </c>
      <c r="G353" s="2">
        <f t="shared" si="15"/>
        <v>957082.9</v>
      </c>
      <c r="H353" s="1">
        <f t="shared" si="16"/>
        <v>168</v>
      </c>
    </row>
    <row r="354" spans="1:8">
      <c r="A354" s="1">
        <v>353</v>
      </c>
      <c r="B354" t="str">
        <f t="shared" si="17"/>
        <v>Water Treatment Pipeline</v>
      </c>
      <c r="C354" t="s">
        <v>8</v>
      </c>
      <c r="D354" s="2">
        <v>288456</v>
      </c>
      <c r="E354">
        <v>94</v>
      </c>
      <c r="F354" t="s">
        <v>14</v>
      </c>
      <c r="G354" s="2">
        <f t="shared" si="15"/>
        <v>274033.2</v>
      </c>
      <c r="H354" s="1">
        <f t="shared" si="16"/>
        <v>124</v>
      </c>
    </row>
    <row r="355" spans="1:8">
      <c r="A355" s="1">
        <v>354</v>
      </c>
      <c r="B355" t="str">
        <f t="shared" si="17"/>
        <v>National Highway Expansion</v>
      </c>
      <c r="C355" t="s">
        <v>6</v>
      </c>
      <c r="D355" s="2">
        <v>208214</v>
      </c>
      <c r="E355">
        <v>228</v>
      </c>
      <c r="F355" t="s">
        <v>13</v>
      </c>
      <c r="G355" s="2">
        <f t="shared" si="15"/>
        <v>239446.1</v>
      </c>
      <c r="H355" s="1">
        <f t="shared" si="16"/>
        <v>230</v>
      </c>
    </row>
    <row r="356" spans="1:8">
      <c r="A356" s="1">
        <v>355</v>
      </c>
      <c r="B356" t="str">
        <f t="shared" si="17"/>
        <v>Metro Corridor Extension</v>
      </c>
      <c r="C356" t="s">
        <v>6</v>
      </c>
      <c r="D356" s="2">
        <v>579742</v>
      </c>
      <c r="E356">
        <v>127</v>
      </c>
      <c r="F356" t="s">
        <v>14</v>
      </c>
      <c r="G356" s="2">
        <f t="shared" si="15"/>
        <v>666703.3</v>
      </c>
      <c r="H356" s="1">
        <f t="shared" si="16"/>
        <v>157</v>
      </c>
    </row>
    <row r="357" spans="1:8">
      <c r="A357" s="1">
        <v>356</v>
      </c>
      <c r="B357" t="str">
        <f t="shared" si="17"/>
        <v>Smart Grid Substation</v>
      </c>
      <c r="C357" t="s">
        <v>6</v>
      </c>
      <c r="D357" s="2">
        <v>510020</v>
      </c>
      <c r="E357">
        <v>99</v>
      </c>
      <c r="F357" t="s">
        <v>14</v>
      </c>
      <c r="G357" s="2">
        <f t="shared" si="15"/>
        <v>586523</v>
      </c>
      <c r="H357" s="1">
        <f t="shared" si="16"/>
        <v>129</v>
      </c>
    </row>
    <row r="358" spans="1:8">
      <c r="A358" s="1">
        <v>357</v>
      </c>
      <c r="B358" t="str">
        <f t="shared" si="17"/>
        <v>Elevated Flyover Construction</v>
      </c>
      <c r="C358" t="s">
        <v>8</v>
      </c>
      <c r="D358" s="2">
        <v>656709</v>
      </c>
      <c r="E358">
        <v>197</v>
      </c>
      <c r="F358" t="s">
        <v>14</v>
      </c>
      <c r="G358" s="2">
        <f t="shared" si="15"/>
        <v>623873.55</v>
      </c>
      <c r="H358" s="1">
        <f t="shared" si="16"/>
        <v>227</v>
      </c>
    </row>
    <row r="359" spans="1:8">
      <c r="A359" s="1">
        <v>358</v>
      </c>
      <c r="B359" t="str">
        <f t="shared" si="17"/>
        <v>Solar Power Plant Setup</v>
      </c>
      <c r="C359" t="s">
        <v>5</v>
      </c>
      <c r="D359" s="2">
        <v>130399</v>
      </c>
      <c r="E359">
        <v>220</v>
      </c>
      <c r="F359" t="s">
        <v>13</v>
      </c>
      <c r="G359" s="2">
        <f t="shared" si="15"/>
        <v>123879.05</v>
      </c>
      <c r="H359" s="1">
        <f t="shared" si="16"/>
        <v>222</v>
      </c>
    </row>
    <row r="360" spans="1:8">
      <c r="A360" s="1">
        <v>359</v>
      </c>
      <c r="B360" t="str">
        <f t="shared" si="17"/>
        <v>Water Treatment Pipeline</v>
      </c>
      <c r="C360" t="s">
        <v>8</v>
      </c>
      <c r="D360" s="2">
        <v>586228</v>
      </c>
      <c r="E360">
        <v>204</v>
      </c>
      <c r="F360" t="s">
        <v>14</v>
      </c>
      <c r="G360" s="2">
        <f t="shared" si="15"/>
        <v>556916.6</v>
      </c>
      <c r="H360" s="1">
        <f t="shared" si="16"/>
        <v>234</v>
      </c>
    </row>
    <row r="361" spans="1:8">
      <c r="A361" s="1">
        <v>360</v>
      </c>
      <c r="B361" t="str">
        <f t="shared" si="17"/>
        <v>National Highway Expansion</v>
      </c>
      <c r="C361" t="s">
        <v>7</v>
      </c>
      <c r="D361" s="2">
        <v>156786</v>
      </c>
      <c r="E361">
        <v>178</v>
      </c>
      <c r="F361" t="s">
        <v>14</v>
      </c>
      <c r="G361" s="2">
        <f t="shared" si="15"/>
        <v>148946.7</v>
      </c>
      <c r="H361" s="1">
        <f t="shared" si="16"/>
        <v>208</v>
      </c>
    </row>
    <row r="362" spans="1:8">
      <c r="A362" s="1">
        <v>361</v>
      </c>
      <c r="B362" t="str">
        <f t="shared" si="17"/>
        <v>Metro Corridor Extension</v>
      </c>
      <c r="C362" t="s">
        <v>6</v>
      </c>
      <c r="D362" s="2">
        <v>432131</v>
      </c>
      <c r="E362">
        <v>110</v>
      </c>
      <c r="F362" t="s">
        <v>13</v>
      </c>
      <c r="G362" s="2">
        <f t="shared" si="15"/>
        <v>496950.65</v>
      </c>
      <c r="H362" s="1">
        <f t="shared" si="16"/>
        <v>112</v>
      </c>
    </row>
    <row r="363" spans="1:8">
      <c r="A363" s="1">
        <v>362</v>
      </c>
      <c r="B363" t="str">
        <f t="shared" si="17"/>
        <v>Smart Grid Substation</v>
      </c>
      <c r="C363" t="s">
        <v>7</v>
      </c>
      <c r="D363" s="2">
        <v>548827</v>
      </c>
      <c r="E363">
        <v>142</v>
      </c>
      <c r="F363" t="s">
        <v>13</v>
      </c>
      <c r="G363" s="2">
        <f t="shared" si="15"/>
        <v>521385.65</v>
      </c>
      <c r="H363" s="1">
        <f t="shared" si="16"/>
        <v>144</v>
      </c>
    </row>
    <row r="364" spans="1:8">
      <c r="A364" s="1">
        <v>363</v>
      </c>
      <c r="B364" t="str">
        <f t="shared" si="17"/>
        <v>Elevated Flyover Construction</v>
      </c>
      <c r="C364" t="s">
        <v>7</v>
      </c>
      <c r="D364" s="2">
        <v>854079</v>
      </c>
      <c r="E364">
        <v>180</v>
      </c>
      <c r="F364" t="s">
        <v>14</v>
      </c>
      <c r="G364" s="2">
        <f t="shared" si="15"/>
        <v>811375.05</v>
      </c>
      <c r="H364" s="1">
        <f t="shared" si="16"/>
        <v>210</v>
      </c>
    </row>
    <row r="365" spans="1:8">
      <c r="A365" s="1">
        <v>364</v>
      </c>
      <c r="B365" t="str">
        <f t="shared" si="17"/>
        <v>Solar Power Plant Setup</v>
      </c>
      <c r="C365" t="s">
        <v>4</v>
      </c>
      <c r="D365" s="2">
        <v>835695</v>
      </c>
      <c r="E365">
        <v>183</v>
      </c>
      <c r="F365" t="s">
        <v>13</v>
      </c>
      <c r="G365" s="2">
        <f t="shared" si="15"/>
        <v>793910.25</v>
      </c>
      <c r="H365" s="1">
        <f t="shared" si="16"/>
        <v>185</v>
      </c>
    </row>
    <row r="366" spans="1:8">
      <c r="A366" s="1">
        <v>365</v>
      </c>
      <c r="B366" t="str">
        <f t="shared" si="17"/>
        <v>Water Treatment Pipeline</v>
      </c>
      <c r="C366" t="s">
        <v>6</v>
      </c>
      <c r="D366" s="2">
        <v>180076</v>
      </c>
      <c r="E366">
        <v>117</v>
      </c>
      <c r="F366" t="s">
        <v>14</v>
      </c>
      <c r="G366" s="2">
        <f t="shared" si="15"/>
        <v>207087.4</v>
      </c>
      <c r="H366" s="1">
        <f t="shared" si="16"/>
        <v>147</v>
      </c>
    </row>
    <row r="367" spans="1:8">
      <c r="A367" s="1">
        <v>366</v>
      </c>
      <c r="B367" t="str">
        <f t="shared" si="17"/>
        <v>National Highway Expansion</v>
      </c>
      <c r="C367" t="s">
        <v>6</v>
      </c>
      <c r="D367" s="2">
        <v>691164</v>
      </c>
      <c r="E367">
        <v>163</v>
      </c>
      <c r="F367" t="s">
        <v>13</v>
      </c>
      <c r="G367" s="2">
        <f t="shared" si="15"/>
        <v>794838.6</v>
      </c>
      <c r="H367" s="1">
        <f t="shared" si="16"/>
        <v>165</v>
      </c>
    </row>
    <row r="368" spans="1:8">
      <c r="A368" s="1">
        <v>367</v>
      </c>
      <c r="B368" t="str">
        <f t="shared" si="17"/>
        <v>Metro Corridor Extension</v>
      </c>
      <c r="C368" t="s">
        <v>4</v>
      </c>
      <c r="D368" s="2">
        <v>189205</v>
      </c>
      <c r="E368">
        <v>173</v>
      </c>
      <c r="F368" t="s">
        <v>13</v>
      </c>
      <c r="G368" s="2">
        <f t="shared" si="15"/>
        <v>179744.75</v>
      </c>
      <c r="H368" s="1">
        <f t="shared" si="16"/>
        <v>175</v>
      </c>
    </row>
    <row r="369" spans="1:8">
      <c r="A369" s="1">
        <v>368</v>
      </c>
      <c r="B369" t="str">
        <f t="shared" si="17"/>
        <v>Smart Grid Substation</v>
      </c>
      <c r="C369" t="s">
        <v>6</v>
      </c>
      <c r="D369" s="2">
        <v>613979</v>
      </c>
      <c r="E369">
        <v>139</v>
      </c>
      <c r="F369" t="s">
        <v>14</v>
      </c>
      <c r="G369" s="2">
        <f t="shared" si="15"/>
        <v>706075.85</v>
      </c>
      <c r="H369" s="1">
        <f t="shared" si="16"/>
        <v>169</v>
      </c>
    </row>
    <row r="370" spans="1:8">
      <c r="A370" s="1">
        <v>369</v>
      </c>
      <c r="B370" t="str">
        <f t="shared" si="17"/>
        <v>Elevated Flyover Construction</v>
      </c>
      <c r="C370" t="s">
        <v>7</v>
      </c>
      <c r="D370" s="2">
        <v>433738</v>
      </c>
      <c r="E370">
        <v>90</v>
      </c>
      <c r="F370" t="s">
        <v>14</v>
      </c>
      <c r="G370" s="2">
        <f t="shared" si="15"/>
        <v>412051.1</v>
      </c>
      <c r="H370" s="1">
        <f t="shared" si="16"/>
        <v>120</v>
      </c>
    </row>
    <row r="371" spans="1:8">
      <c r="A371" s="1">
        <v>370</v>
      </c>
      <c r="B371" t="str">
        <f t="shared" si="17"/>
        <v>Solar Power Plant Setup</v>
      </c>
      <c r="C371" t="s">
        <v>7</v>
      </c>
      <c r="D371" s="2">
        <v>813023</v>
      </c>
      <c r="E371">
        <v>148</v>
      </c>
      <c r="F371" t="s">
        <v>14</v>
      </c>
      <c r="G371" s="2">
        <f t="shared" si="15"/>
        <v>772371.85</v>
      </c>
      <c r="H371" s="1">
        <f t="shared" si="16"/>
        <v>178</v>
      </c>
    </row>
    <row r="372" spans="1:8">
      <c r="A372" s="1">
        <v>371</v>
      </c>
      <c r="B372" t="str">
        <f t="shared" si="17"/>
        <v>Water Treatment Pipeline</v>
      </c>
      <c r="C372" t="s">
        <v>7</v>
      </c>
      <c r="D372" s="2">
        <v>484087</v>
      </c>
      <c r="E372">
        <v>189</v>
      </c>
      <c r="F372" t="s">
        <v>13</v>
      </c>
      <c r="G372" s="2">
        <f t="shared" si="15"/>
        <v>459882.65</v>
      </c>
      <c r="H372" s="1">
        <f t="shared" si="16"/>
        <v>191</v>
      </c>
    </row>
    <row r="373" spans="1:8">
      <c r="A373" s="1">
        <v>372</v>
      </c>
      <c r="B373" t="str">
        <f t="shared" si="17"/>
        <v>National Highway Expansion</v>
      </c>
      <c r="C373" t="s">
        <v>7</v>
      </c>
      <c r="D373" s="2">
        <v>401821</v>
      </c>
      <c r="E373">
        <v>105</v>
      </c>
      <c r="F373" t="s">
        <v>14</v>
      </c>
      <c r="G373" s="2">
        <f t="shared" si="15"/>
        <v>381729.95</v>
      </c>
      <c r="H373" s="1">
        <f t="shared" si="16"/>
        <v>135</v>
      </c>
    </row>
    <row r="374" spans="1:8">
      <c r="A374" s="1">
        <v>373</v>
      </c>
      <c r="B374" t="str">
        <f t="shared" si="17"/>
        <v>Metro Corridor Extension</v>
      </c>
      <c r="C374" t="s">
        <v>4</v>
      </c>
      <c r="D374" s="2">
        <v>347699</v>
      </c>
      <c r="E374">
        <v>104</v>
      </c>
      <c r="F374" t="s">
        <v>14</v>
      </c>
      <c r="G374" s="2">
        <f t="shared" si="15"/>
        <v>330314.05</v>
      </c>
      <c r="H374" s="1">
        <f t="shared" si="16"/>
        <v>134</v>
      </c>
    </row>
    <row r="375" spans="1:8">
      <c r="A375" s="1">
        <v>374</v>
      </c>
      <c r="B375" t="str">
        <f t="shared" si="17"/>
        <v>Smart Grid Substation</v>
      </c>
      <c r="C375" t="s">
        <v>4</v>
      </c>
      <c r="D375" s="2">
        <v>193167</v>
      </c>
      <c r="E375">
        <v>218</v>
      </c>
      <c r="F375" t="s">
        <v>14</v>
      </c>
      <c r="G375" s="2">
        <f t="shared" si="15"/>
        <v>183508.65</v>
      </c>
      <c r="H375" s="1">
        <f t="shared" si="16"/>
        <v>248</v>
      </c>
    </row>
    <row r="376" spans="1:8">
      <c r="A376" s="1">
        <v>375</v>
      </c>
      <c r="B376" t="str">
        <f t="shared" si="17"/>
        <v>Elevated Flyover Construction</v>
      </c>
      <c r="C376" t="s">
        <v>6</v>
      </c>
      <c r="D376" s="2">
        <v>882664</v>
      </c>
      <c r="E376">
        <v>160</v>
      </c>
      <c r="F376" t="s">
        <v>14</v>
      </c>
      <c r="G376" s="2">
        <f t="shared" si="15"/>
        <v>1015063.6</v>
      </c>
      <c r="H376" s="1">
        <f t="shared" si="16"/>
        <v>190</v>
      </c>
    </row>
    <row r="377" spans="1:8">
      <c r="A377" s="1">
        <v>376</v>
      </c>
      <c r="B377" t="str">
        <f t="shared" si="17"/>
        <v>Solar Power Plant Setup</v>
      </c>
      <c r="C377" t="s">
        <v>7</v>
      </c>
      <c r="D377" s="2">
        <v>149851</v>
      </c>
      <c r="E377">
        <v>159</v>
      </c>
      <c r="F377" t="s">
        <v>14</v>
      </c>
      <c r="G377" s="2">
        <f t="shared" si="15"/>
        <v>142358.45</v>
      </c>
      <c r="H377" s="1">
        <f t="shared" si="16"/>
        <v>189</v>
      </c>
    </row>
    <row r="378" spans="1:8">
      <c r="A378" s="1">
        <v>377</v>
      </c>
      <c r="B378" t="str">
        <f t="shared" si="17"/>
        <v>Water Treatment Pipeline</v>
      </c>
      <c r="C378" t="s">
        <v>6</v>
      </c>
      <c r="D378" s="2">
        <v>110223</v>
      </c>
      <c r="E378">
        <v>153</v>
      </c>
      <c r="F378" t="s">
        <v>13</v>
      </c>
      <c r="G378" s="2">
        <f t="shared" si="15"/>
        <v>126756.45</v>
      </c>
      <c r="H378" s="1">
        <f t="shared" si="16"/>
        <v>155</v>
      </c>
    </row>
    <row r="379" spans="1:8">
      <c r="A379" s="1">
        <v>378</v>
      </c>
      <c r="B379" t="str">
        <f t="shared" si="17"/>
        <v>National Highway Expansion</v>
      </c>
      <c r="C379" t="s">
        <v>5</v>
      </c>
      <c r="D379" s="2">
        <v>224858</v>
      </c>
      <c r="E379">
        <v>180</v>
      </c>
      <c r="F379" t="s">
        <v>13</v>
      </c>
      <c r="G379" s="2">
        <f t="shared" si="15"/>
        <v>213615.1</v>
      </c>
      <c r="H379" s="1">
        <f t="shared" si="16"/>
        <v>182</v>
      </c>
    </row>
    <row r="380" spans="1:8">
      <c r="A380" s="1">
        <v>379</v>
      </c>
      <c r="B380" t="str">
        <f t="shared" si="17"/>
        <v>Metro Corridor Extension</v>
      </c>
      <c r="C380" t="s">
        <v>8</v>
      </c>
      <c r="D380" s="2">
        <v>873490</v>
      </c>
      <c r="E380">
        <v>135</v>
      </c>
      <c r="F380" t="s">
        <v>13</v>
      </c>
      <c r="G380" s="2">
        <f t="shared" si="15"/>
        <v>829815.5</v>
      </c>
      <c r="H380" s="1">
        <f t="shared" si="16"/>
        <v>137</v>
      </c>
    </row>
    <row r="381" spans="1:8">
      <c r="A381" s="1">
        <v>380</v>
      </c>
      <c r="B381" t="str">
        <f t="shared" si="17"/>
        <v>Smart Grid Substation</v>
      </c>
      <c r="C381" t="s">
        <v>5</v>
      </c>
      <c r="D381" s="2">
        <v>229155</v>
      </c>
      <c r="E381">
        <v>232</v>
      </c>
      <c r="F381" t="s">
        <v>14</v>
      </c>
      <c r="G381" s="2">
        <f t="shared" si="15"/>
        <v>217697.25</v>
      </c>
      <c r="H381" s="1">
        <f t="shared" si="16"/>
        <v>262</v>
      </c>
    </row>
    <row r="382" spans="1:8">
      <c r="A382" s="1">
        <v>381</v>
      </c>
      <c r="B382" t="str">
        <f t="shared" si="17"/>
        <v>Elevated Flyover Construction</v>
      </c>
      <c r="C382" t="s">
        <v>7</v>
      </c>
      <c r="D382" s="2">
        <v>425950</v>
      </c>
      <c r="E382">
        <v>230</v>
      </c>
      <c r="F382" t="s">
        <v>14</v>
      </c>
      <c r="G382" s="2">
        <f t="shared" si="15"/>
        <v>404652.5</v>
      </c>
      <c r="H382" s="1">
        <f t="shared" si="16"/>
        <v>260</v>
      </c>
    </row>
    <row r="383" spans="1:8">
      <c r="A383" s="1">
        <v>382</v>
      </c>
      <c r="B383" t="str">
        <f t="shared" si="17"/>
        <v>Solar Power Plant Setup</v>
      </c>
      <c r="C383" t="s">
        <v>5</v>
      </c>
      <c r="D383" s="2">
        <v>769278</v>
      </c>
      <c r="E383">
        <v>128</v>
      </c>
      <c r="F383" t="s">
        <v>13</v>
      </c>
      <c r="G383" s="2">
        <f t="shared" si="15"/>
        <v>730814.1</v>
      </c>
      <c r="H383" s="1">
        <f t="shared" si="16"/>
        <v>130</v>
      </c>
    </row>
    <row r="384" spans="1:8">
      <c r="A384" s="1">
        <v>383</v>
      </c>
      <c r="B384" t="str">
        <f t="shared" si="17"/>
        <v>Water Treatment Pipeline</v>
      </c>
      <c r="C384" t="s">
        <v>6</v>
      </c>
      <c r="D384" s="2">
        <v>357418</v>
      </c>
      <c r="E384">
        <v>221</v>
      </c>
      <c r="F384" t="s">
        <v>14</v>
      </c>
      <c r="G384" s="2">
        <f t="shared" si="15"/>
        <v>411030.7</v>
      </c>
      <c r="H384" s="1">
        <f t="shared" si="16"/>
        <v>251</v>
      </c>
    </row>
    <row r="385" spans="1:8">
      <c r="A385" s="1">
        <v>384</v>
      </c>
      <c r="B385" t="str">
        <f t="shared" si="17"/>
        <v>National Highway Expansion</v>
      </c>
      <c r="C385" t="s">
        <v>7</v>
      </c>
      <c r="D385" s="2">
        <v>518465</v>
      </c>
      <c r="E385">
        <v>218</v>
      </c>
      <c r="F385" t="s">
        <v>13</v>
      </c>
      <c r="G385" s="2">
        <f t="shared" si="15"/>
        <v>492541.75</v>
      </c>
      <c r="H385" s="1">
        <f t="shared" si="16"/>
        <v>220</v>
      </c>
    </row>
    <row r="386" spans="1:8">
      <c r="A386" s="1">
        <v>385</v>
      </c>
      <c r="B386" t="str">
        <f t="shared" si="17"/>
        <v>Metro Corridor Extension</v>
      </c>
      <c r="C386" t="s">
        <v>7</v>
      </c>
      <c r="D386" s="2">
        <v>223469</v>
      </c>
      <c r="E386">
        <v>119</v>
      </c>
      <c r="F386" t="s">
        <v>13</v>
      </c>
      <c r="G386" s="2">
        <f t="shared" ref="G386:G449" si="18">IF(C386="North",D386*1.15,D386*0.95)</f>
        <v>212295.55</v>
      </c>
      <c r="H386" s="1">
        <f t="shared" ref="H386:H449" si="19">IF(F386="Yes",E386+30,E386+2)</f>
        <v>121</v>
      </c>
    </row>
    <row r="387" spans="1:8">
      <c r="A387" s="1">
        <v>386</v>
      </c>
      <c r="B387" t="str">
        <f t="shared" ref="B387:B450" si="20">VLOOKUP(MOD(A387,6),$L$4:$M$9,2,FALSE)</f>
        <v>Smart Grid Substation</v>
      </c>
      <c r="C387" t="s">
        <v>8</v>
      </c>
      <c r="D387" s="2">
        <v>662162</v>
      </c>
      <c r="E387">
        <v>126</v>
      </c>
      <c r="F387" t="s">
        <v>13</v>
      </c>
      <c r="G387" s="2">
        <f t="shared" si="18"/>
        <v>629053.9</v>
      </c>
      <c r="H387" s="1">
        <f t="shared" si="19"/>
        <v>128</v>
      </c>
    </row>
    <row r="388" spans="1:8">
      <c r="A388" s="1">
        <v>387</v>
      </c>
      <c r="B388" t="str">
        <f t="shared" si="20"/>
        <v>Elevated Flyover Construction</v>
      </c>
      <c r="C388" t="s">
        <v>6</v>
      </c>
      <c r="D388" s="2">
        <v>846408</v>
      </c>
      <c r="E388">
        <v>197</v>
      </c>
      <c r="F388" t="s">
        <v>13</v>
      </c>
      <c r="G388" s="2">
        <f t="shared" si="18"/>
        <v>973369.2</v>
      </c>
      <c r="H388" s="1">
        <f t="shared" si="19"/>
        <v>199</v>
      </c>
    </row>
    <row r="389" spans="1:8">
      <c r="A389" s="1">
        <v>388</v>
      </c>
      <c r="B389" t="str">
        <f t="shared" si="20"/>
        <v>Solar Power Plant Setup</v>
      </c>
      <c r="C389" t="s">
        <v>6</v>
      </c>
      <c r="D389" s="2">
        <v>693773</v>
      </c>
      <c r="E389">
        <v>125</v>
      </c>
      <c r="F389" t="s">
        <v>14</v>
      </c>
      <c r="G389" s="2">
        <f t="shared" si="18"/>
        <v>797838.95</v>
      </c>
      <c r="H389" s="1">
        <f t="shared" si="19"/>
        <v>155</v>
      </c>
    </row>
    <row r="390" spans="1:8">
      <c r="A390" s="1">
        <v>389</v>
      </c>
      <c r="B390" t="str">
        <f t="shared" si="20"/>
        <v>Water Treatment Pipeline</v>
      </c>
      <c r="C390" t="s">
        <v>8</v>
      </c>
      <c r="D390" s="2">
        <v>786163</v>
      </c>
      <c r="E390">
        <v>100</v>
      </c>
      <c r="F390" t="s">
        <v>13</v>
      </c>
      <c r="G390" s="2">
        <f t="shared" si="18"/>
        <v>746854.85</v>
      </c>
      <c r="H390" s="1">
        <f t="shared" si="19"/>
        <v>102</v>
      </c>
    </row>
    <row r="391" spans="1:8">
      <c r="A391" s="1">
        <v>390</v>
      </c>
      <c r="B391" t="str">
        <f t="shared" si="20"/>
        <v>National Highway Expansion</v>
      </c>
      <c r="C391" t="s">
        <v>8</v>
      </c>
      <c r="D391" s="2">
        <v>338814</v>
      </c>
      <c r="E391">
        <v>110</v>
      </c>
      <c r="F391" t="s">
        <v>14</v>
      </c>
      <c r="G391" s="2">
        <f t="shared" si="18"/>
        <v>321873.3</v>
      </c>
      <c r="H391" s="1">
        <f t="shared" si="19"/>
        <v>140</v>
      </c>
    </row>
    <row r="392" spans="1:8">
      <c r="A392" s="1">
        <v>391</v>
      </c>
      <c r="B392" t="str">
        <f t="shared" si="20"/>
        <v>Metro Corridor Extension</v>
      </c>
      <c r="C392" t="s">
        <v>8</v>
      </c>
      <c r="D392" s="2">
        <v>169271</v>
      </c>
      <c r="E392">
        <v>198</v>
      </c>
      <c r="F392" t="s">
        <v>13</v>
      </c>
      <c r="G392" s="2">
        <f t="shared" si="18"/>
        <v>160807.45</v>
      </c>
      <c r="H392" s="1">
        <f t="shared" si="19"/>
        <v>200</v>
      </c>
    </row>
    <row r="393" spans="1:8">
      <c r="A393" s="1">
        <v>392</v>
      </c>
      <c r="B393" t="str">
        <f t="shared" si="20"/>
        <v>Smart Grid Substation</v>
      </c>
      <c r="C393" t="s">
        <v>6</v>
      </c>
      <c r="D393" s="2">
        <v>719539</v>
      </c>
      <c r="E393">
        <v>222</v>
      </c>
      <c r="F393" t="s">
        <v>13</v>
      </c>
      <c r="G393" s="2">
        <f t="shared" si="18"/>
        <v>827469.85</v>
      </c>
      <c r="H393" s="1">
        <f t="shared" si="19"/>
        <v>224</v>
      </c>
    </row>
    <row r="394" spans="1:8">
      <c r="A394" s="1">
        <v>393</v>
      </c>
      <c r="B394" t="str">
        <f t="shared" si="20"/>
        <v>Elevated Flyover Construction</v>
      </c>
      <c r="C394" t="s">
        <v>7</v>
      </c>
      <c r="D394" s="2">
        <v>362191</v>
      </c>
      <c r="E394">
        <v>189</v>
      </c>
      <c r="F394" t="s">
        <v>14</v>
      </c>
      <c r="G394" s="2">
        <f t="shared" si="18"/>
        <v>344081.45</v>
      </c>
      <c r="H394" s="1">
        <f t="shared" si="19"/>
        <v>219</v>
      </c>
    </row>
    <row r="395" spans="1:8">
      <c r="A395" s="1">
        <v>394</v>
      </c>
      <c r="B395" t="str">
        <f t="shared" si="20"/>
        <v>Solar Power Plant Setup</v>
      </c>
      <c r="C395" t="s">
        <v>7</v>
      </c>
      <c r="D395" s="2">
        <v>538994</v>
      </c>
      <c r="E395">
        <v>142</v>
      </c>
      <c r="F395" t="s">
        <v>13</v>
      </c>
      <c r="G395" s="2">
        <f t="shared" si="18"/>
        <v>512044.3</v>
      </c>
      <c r="H395" s="1">
        <f t="shared" si="19"/>
        <v>144</v>
      </c>
    </row>
    <row r="396" spans="1:8">
      <c r="A396" s="1">
        <v>395</v>
      </c>
      <c r="B396" t="str">
        <f t="shared" si="20"/>
        <v>Water Treatment Pipeline</v>
      </c>
      <c r="C396" t="s">
        <v>7</v>
      </c>
      <c r="D396" s="2">
        <v>481810</v>
      </c>
      <c r="E396">
        <v>144</v>
      </c>
      <c r="F396" t="s">
        <v>13</v>
      </c>
      <c r="G396" s="2">
        <f t="shared" si="18"/>
        <v>457719.5</v>
      </c>
      <c r="H396" s="1">
        <f t="shared" si="19"/>
        <v>146</v>
      </c>
    </row>
    <row r="397" spans="1:8">
      <c r="A397" s="1">
        <v>396</v>
      </c>
      <c r="B397" t="str">
        <f t="shared" si="20"/>
        <v>National Highway Expansion</v>
      </c>
      <c r="C397" t="s">
        <v>4</v>
      </c>
      <c r="D397" s="2">
        <v>232084</v>
      </c>
      <c r="E397">
        <v>230</v>
      </c>
      <c r="F397" t="s">
        <v>13</v>
      </c>
      <c r="G397" s="2">
        <f t="shared" si="18"/>
        <v>220479.8</v>
      </c>
      <c r="H397" s="1">
        <f t="shared" si="19"/>
        <v>232</v>
      </c>
    </row>
    <row r="398" spans="1:8">
      <c r="A398" s="1">
        <v>397</v>
      </c>
      <c r="B398" t="str">
        <f t="shared" si="20"/>
        <v>Metro Corridor Extension</v>
      </c>
      <c r="C398" t="s">
        <v>8</v>
      </c>
      <c r="D398" s="2">
        <v>299590</v>
      </c>
      <c r="E398">
        <v>140</v>
      </c>
      <c r="F398" t="s">
        <v>13</v>
      </c>
      <c r="G398" s="2">
        <f t="shared" si="18"/>
        <v>284610.5</v>
      </c>
      <c r="H398" s="1">
        <f t="shared" si="19"/>
        <v>142</v>
      </c>
    </row>
    <row r="399" spans="1:8">
      <c r="A399" s="1">
        <v>398</v>
      </c>
      <c r="B399" t="str">
        <f t="shared" si="20"/>
        <v>Smart Grid Substation</v>
      </c>
      <c r="C399" t="s">
        <v>8</v>
      </c>
      <c r="D399" s="2">
        <v>510192</v>
      </c>
      <c r="E399">
        <v>213</v>
      </c>
      <c r="F399" t="s">
        <v>14</v>
      </c>
      <c r="G399" s="2">
        <f t="shared" si="18"/>
        <v>484682.4</v>
      </c>
      <c r="H399" s="1">
        <f t="shared" si="19"/>
        <v>243</v>
      </c>
    </row>
    <row r="400" spans="1:8">
      <c r="A400" s="1">
        <v>399</v>
      </c>
      <c r="B400" t="str">
        <f t="shared" si="20"/>
        <v>Elevated Flyover Construction</v>
      </c>
      <c r="C400" t="s">
        <v>4</v>
      </c>
      <c r="D400" s="2">
        <v>108803</v>
      </c>
      <c r="E400">
        <v>206</v>
      </c>
      <c r="F400" t="s">
        <v>14</v>
      </c>
      <c r="G400" s="2">
        <f t="shared" si="18"/>
        <v>103362.85</v>
      </c>
      <c r="H400" s="1">
        <f t="shared" si="19"/>
        <v>236</v>
      </c>
    </row>
    <row r="401" spans="1:8">
      <c r="A401" s="1">
        <v>400</v>
      </c>
      <c r="B401" t="str">
        <f t="shared" si="20"/>
        <v>Solar Power Plant Setup</v>
      </c>
      <c r="C401" t="s">
        <v>4</v>
      </c>
      <c r="D401" s="2">
        <v>859021</v>
      </c>
      <c r="E401">
        <v>134</v>
      </c>
      <c r="F401" t="s">
        <v>13</v>
      </c>
      <c r="G401" s="2">
        <f t="shared" si="18"/>
        <v>816069.95</v>
      </c>
      <c r="H401" s="1">
        <f t="shared" si="19"/>
        <v>136</v>
      </c>
    </row>
    <row r="402" spans="1:8">
      <c r="A402" s="1">
        <v>401</v>
      </c>
      <c r="B402" t="str">
        <f t="shared" si="20"/>
        <v>Water Treatment Pipeline</v>
      </c>
      <c r="C402" t="s">
        <v>4</v>
      </c>
      <c r="D402" s="2">
        <v>346077</v>
      </c>
      <c r="E402">
        <v>232</v>
      </c>
      <c r="F402" t="s">
        <v>14</v>
      </c>
      <c r="G402" s="2">
        <f t="shared" si="18"/>
        <v>328773.15</v>
      </c>
      <c r="H402" s="1">
        <f t="shared" si="19"/>
        <v>262</v>
      </c>
    </row>
    <row r="403" spans="1:8">
      <c r="A403" s="1">
        <v>402</v>
      </c>
      <c r="B403" t="str">
        <f t="shared" si="20"/>
        <v>National Highway Expansion</v>
      </c>
      <c r="C403" t="s">
        <v>7</v>
      </c>
      <c r="D403" s="2">
        <v>822421</v>
      </c>
      <c r="E403">
        <v>239</v>
      </c>
      <c r="F403" t="s">
        <v>13</v>
      </c>
      <c r="G403" s="2">
        <f t="shared" si="18"/>
        <v>781299.95</v>
      </c>
      <c r="H403" s="1">
        <f t="shared" si="19"/>
        <v>241</v>
      </c>
    </row>
    <row r="404" spans="1:8">
      <c r="A404" s="1">
        <v>403</v>
      </c>
      <c r="B404" t="str">
        <f t="shared" si="20"/>
        <v>Metro Corridor Extension</v>
      </c>
      <c r="C404" t="s">
        <v>6</v>
      </c>
      <c r="D404" s="2">
        <v>360430</v>
      </c>
      <c r="E404">
        <v>93</v>
      </c>
      <c r="F404" t="s">
        <v>14</v>
      </c>
      <c r="G404" s="2">
        <f t="shared" si="18"/>
        <v>414494.5</v>
      </c>
      <c r="H404" s="1">
        <f t="shared" si="19"/>
        <v>123</v>
      </c>
    </row>
    <row r="405" spans="1:8">
      <c r="A405" s="1">
        <v>404</v>
      </c>
      <c r="B405" t="str">
        <f t="shared" si="20"/>
        <v>Smart Grid Substation</v>
      </c>
      <c r="C405" t="s">
        <v>4</v>
      </c>
      <c r="D405" s="2">
        <v>164289</v>
      </c>
      <c r="E405">
        <v>200</v>
      </c>
      <c r="F405" t="s">
        <v>13</v>
      </c>
      <c r="G405" s="2">
        <f t="shared" si="18"/>
        <v>156074.55</v>
      </c>
      <c r="H405" s="1">
        <f t="shared" si="19"/>
        <v>202</v>
      </c>
    </row>
    <row r="406" spans="1:8">
      <c r="A406" s="1">
        <v>405</v>
      </c>
      <c r="B406" t="str">
        <f t="shared" si="20"/>
        <v>Elevated Flyover Construction</v>
      </c>
      <c r="C406" t="s">
        <v>8</v>
      </c>
      <c r="D406" s="2">
        <v>634232</v>
      </c>
      <c r="E406">
        <v>190</v>
      </c>
      <c r="F406" t="s">
        <v>14</v>
      </c>
      <c r="G406" s="2">
        <f t="shared" si="18"/>
        <v>602520.4</v>
      </c>
      <c r="H406" s="1">
        <f t="shared" si="19"/>
        <v>220</v>
      </c>
    </row>
    <row r="407" spans="1:8">
      <c r="A407" s="1">
        <v>406</v>
      </c>
      <c r="B407" t="str">
        <f t="shared" si="20"/>
        <v>Solar Power Plant Setup</v>
      </c>
      <c r="C407" t="s">
        <v>7</v>
      </c>
      <c r="D407" s="2">
        <v>216118</v>
      </c>
      <c r="E407">
        <v>202</v>
      </c>
      <c r="F407" t="s">
        <v>13</v>
      </c>
      <c r="G407" s="2">
        <f t="shared" si="18"/>
        <v>205312.1</v>
      </c>
      <c r="H407" s="1">
        <f t="shared" si="19"/>
        <v>204</v>
      </c>
    </row>
    <row r="408" spans="1:8">
      <c r="A408" s="1">
        <v>407</v>
      </c>
      <c r="B408" t="str">
        <f t="shared" si="20"/>
        <v>Water Treatment Pipeline</v>
      </c>
      <c r="C408" t="s">
        <v>7</v>
      </c>
      <c r="D408" s="2">
        <v>872910</v>
      </c>
      <c r="E408">
        <v>116</v>
      </c>
      <c r="F408" t="s">
        <v>13</v>
      </c>
      <c r="G408" s="2">
        <f t="shared" si="18"/>
        <v>829264.5</v>
      </c>
      <c r="H408" s="1">
        <f t="shared" si="19"/>
        <v>118</v>
      </c>
    </row>
    <row r="409" spans="1:8">
      <c r="A409" s="1">
        <v>408</v>
      </c>
      <c r="B409" t="str">
        <f t="shared" si="20"/>
        <v>National Highway Expansion</v>
      </c>
      <c r="C409" t="s">
        <v>5</v>
      </c>
      <c r="D409" s="2">
        <v>350353</v>
      </c>
      <c r="E409">
        <v>150</v>
      </c>
      <c r="F409" t="s">
        <v>13</v>
      </c>
      <c r="G409" s="2">
        <f t="shared" si="18"/>
        <v>332835.35</v>
      </c>
      <c r="H409" s="1">
        <f t="shared" si="19"/>
        <v>152</v>
      </c>
    </row>
    <row r="410" spans="1:8">
      <c r="A410" s="1">
        <v>409</v>
      </c>
      <c r="B410" t="str">
        <f t="shared" si="20"/>
        <v>Metro Corridor Extension</v>
      </c>
      <c r="C410" t="s">
        <v>8</v>
      </c>
      <c r="D410" s="2">
        <v>215370</v>
      </c>
      <c r="E410">
        <v>224</v>
      </c>
      <c r="F410" t="s">
        <v>14</v>
      </c>
      <c r="G410" s="2">
        <f t="shared" si="18"/>
        <v>204601.5</v>
      </c>
      <c r="H410" s="1">
        <f t="shared" si="19"/>
        <v>254</v>
      </c>
    </row>
    <row r="411" spans="1:8">
      <c r="A411" s="1">
        <v>410</v>
      </c>
      <c r="B411" t="str">
        <f t="shared" si="20"/>
        <v>Smart Grid Substation</v>
      </c>
      <c r="C411" t="s">
        <v>6</v>
      </c>
      <c r="D411" s="2">
        <v>332276</v>
      </c>
      <c r="E411">
        <v>236</v>
      </c>
      <c r="F411" t="s">
        <v>14</v>
      </c>
      <c r="G411" s="2">
        <f t="shared" si="18"/>
        <v>382117.4</v>
      </c>
      <c r="H411" s="1">
        <f t="shared" si="19"/>
        <v>266</v>
      </c>
    </row>
    <row r="412" spans="1:8">
      <c r="A412" s="1">
        <v>411</v>
      </c>
      <c r="B412" t="str">
        <f t="shared" si="20"/>
        <v>Elevated Flyover Construction</v>
      </c>
      <c r="C412" t="s">
        <v>4</v>
      </c>
      <c r="D412" s="2">
        <v>167385</v>
      </c>
      <c r="E412">
        <v>181</v>
      </c>
      <c r="F412" t="s">
        <v>14</v>
      </c>
      <c r="G412" s="2">
        <f t="shared" si="18"/>
        <v>159015.75</v>
      </c>
      <c r="H412" s="1">
        <f t="shared" si="19"/>
        <v>211</v>
      </c>
    </row>
    <row r="413" spans="1:8">
      <c r="A413" s="1">
        <v>412</v>
      </c>
      <c r="B413" t="str">
        <f t="shared" si="20"/>
        <v>Solar Power Plant Setup</v>
      </c>
      <c r="C413" t="s">
        <v>7</v>
      </c>
      <c r="D413" s="2">
        <v>547694</v>
      </c>
      <c r="E413">
        <v>158</v>
      </c>
      <c r="F413" t="s">
        <v>14</v>
      </c>
      <c r="G413" s="2">
        <f t="shared" si="18"/>
        <v>520309.3</v>
      </c>
      <c r="H413" s="1">
        <f t="shared" si="19"/>
        <v>188</v>
      </c>
    </row>
    <row r="414" spans="1:8">
      <c r="A414" s="1">
        <v>413</v>
      </c>
      <c r="B414" t="str">
        <f t="shared" si="20"/>
        <v>Water Treatment Pipeline</v>
      </c>
      <c r="C414" t="s">
        <v>4</v>
      </c>
      <c r="D414" s="2">
        <v>230601</v>
      </c>
      <c r="E414">
        <v>204</v>
      </c>
      <c r="F414" t="s">
        <v>13</v>
      </c>
      <c r="G414" s="2">
        <f t="shared" si="18"/>
        <v>219070.95</v>
      </c>
      <c r="H414" s="1">
        <f t="shared" si="19"/>
        <v>206</v>
      </c>
    </row>
    <row r="415" spans="1:8">
      <c r="A415" s="1">
        <v>414</v>
      </c>
      <c r="B415" t="str">
        <f t="shared" si="20"/>
        <v>National Highway Expansion</v>
      </c>
      <c r="C415" t="s">
        <v>4</v>
      </c>
      <c r="D415" s="2">
        <v>353744</v>
      </c>
      <c r="E415">
        <v>138</v>
      </c>
      <c r="F415" t="s">
        <v>13</v>
      </c>
      <c r="G415" s="2">
        <f t="shared" si="18"/>
        <v>336056.8</v>
      </c>
      <c r="H415" s="1">
        <f t="shared" si="19"/>
        <v>140</v>
      </c>
    </row>
    <row r="416" spans="1:8">
      <c r="A416" s="1">
        <v>415</v>
      </c>
      <c r="B416" t="str">
        <f t="shared" si="20"/>
        <v>Metro Corridor Extension</v>
      </c>
      <c r="C416" t="s">
        <v>7</v>
      </c>
      <c r="D416" s="2">
        <v>447264</v>
      </c>
      <c r="E416">
        <v>232</v>
      </c>
      <c r="F416" t="s">
        <v>14</v>
      </c>
      <c r="G416" s="2">
        <f t="shared" si="18"/>
        <v>424900.8</v>
      </c>
      <c r="H416" s="1">
        <f t="shared" si="19"/>
        <v>262</v>
      </c>
    </row>
    <row r="417" spans="1:8">
      <c r="A417" s="1">
        <v>416</v>
      </c>
      <c r="B417" t="str">
        <f t="shared" si="20"/>
        <v>Smart Grid Substation</v>
      </c>
      <c r="C417" t="s">
        <v>6</v>
      </c>
      <c r="D417" s="2">
        <v>403074</v>
      </c>
      <c r="E417">
        <v>148</v>
      </c>
      <c r="F417" t="s">
        <v>14</v>
      </c>
      <c r="G417" s="2">
        <f t="shared" si="18"/>
        <v>463535.1</v>
      </c>
      <c r="H417" s="1">
        <f t="shared" si="19"/>
        <v>178</v>
      </c>
    </row>
    <row r="418" spans="1:8">
      <c r="A418" s="1">
        <v>417</v>
      </c>
      <c r="B418" t="str">
        <f t="shared" si="20"/>
        <v>Elevated Flyover Construction</v>
      </c>
      <c r="C418" t="s">
        <v>4</v>
      </c>
      <c r="D418" s="2">
        <v>247088</v>
      </c>
      <c r="E418">
        <v>193</v>
      </c>
      <c r="F418" t="s">
        <v>13</v>
      </c>
      <c r="G418" s="2">
        <f t="shared" si="18"/>
        <v>234733.6</v>
      </c>
      <c r="H418" s="1">
        <f t="shared" si="19"/>
        <v>195</v>
      </c>
    </row>
    <row r="419" spans="1:8">
      <c r="A419" s="1">
        <v>418</v>
      </c>
      <c r="B419" t="str">
        <f t="shared" si="20"/>
        <v>Solar Power Plant Setup</v>
      </c>
      <c r="C419" t="s">
        <v>8</v>
      </c>
      <c r="D419" s="2">
        <v>377781</v>
      </c>
      <c r="E419">
        <v>109</v>
      </c>
      <c r="F419" t="s">
        <v>14</v>
      </c>
      <c r="G419" s="2">
        <f t="shared" si="18"/>
        <v>358891.95</v>
      </c>
      <c r="H419" s="1">
        <f t="shared" si="19"/>
        <v>139</v>
      </c>
    </row>
    <row r="420" spans="1:8">
      <c r="A420" s="1">
        <v>419</v>
      </c>
      <c r="B420" t="str">
        <f t="shared" si="20"/>
        <v>Water Treatment Pipeline</v>
      </c>
      <c r="C420" t="s">
        <v>8</v>
      </c>
      <c r="D420" s="2">
        <v>793893</v>
      </c>
      <c r="E420">
        <v>138</v>
      </c>
      <c r="F420" t="s">
        <v>13</v>
      </c>
      <c r="G420" s="2">
        <f t="shared" si="18"/>
        <v>754198.35</v>
      </c>
      <c r="H420" s="1">
        <f t="shared" si="19"/>
        <v>140</v>
      </c>
    </row>
    <row r="421" spans="1:8">
      <c r="A421" s="1">
        <v>420</v>
      </c>
      <c r="B421" t="str">
        <f t="shared" si="20"/>
        <v>National Highway Expansion</v>
      </c>
      <c r="C421" t="s">
        <v>8</v>
      </c>
      <c r="D421" s="2">
        <v>318463</v>
      </c>
      <c r="E421">
        <v>232</v>
      </c>
      <c r="F421" t="s">
        <v>13</v>
      </c>
      <c r="G421" s="2">
        <f t="shared" si="18"/>
        <v>302539.85</v>
      </c>
      <c r="H421" s="1">
        <f t="shared" si="19"/>
        <v>234</v>
      </c>
    </row>
    <row r="422" spans="1:8">
      <c r="A422" s="1">
        <v>421</v>
      </c>
      <c r="B422" t="str">
        <f t="shared" si="20"/>
        <v>Metro Corridor Extension</v>
      </c>
      <c r="C422" t="s">
        <v>7</v>
      </c>
      <c r="D422" s="2">
        <v>669383</v>
      </c>
      <c r="E422">
        <v>159</v>
      </c>
      <c r="F422" t="s">
        <v>14</v>
      </c>
      <c r="G422" s="2">
        <f t="shared" si="18"/>
        <v>635913.85</v>
      </c>
      <c r="H422" s="1">
        <f t="shared" si="19"/>
        <v>189</v>
      </c>
    </row>
    <row r="423" spans="1:8">
      <c r="A423" s="1">
        <v>422</v>
      </c>
      <c r="B423" t="str">
        <f t="shared" si="20"/>
        <v>Smart Grid Substation</v>
      </c>
      <c r="C423" t="s">
        <v>6</v>
      </c>
      <c r="D423" s="2">
        <v>488751</v>
      </c>
      <c r="E423">
        <v>194</v>
      </c>
      <c r="F423" t="s">
        <v>13</v>
      </c>
      <c r="G423" s="2">
        <f t="shared" si="18"/>
        <v>562063.65</v>
      </c>
      <c r="H423" s="1">
        <f t="shared" si="19"/>
        <v>196</v>
      </c>
    </row>
    <row r="424" spans="1:8">
      <c r="A424" s="1">
        <v>423</v>
      </c>
      <c r="B424" t="str">
        <f t="shared" si="20"/>
        <v>Elevated Flyover Construction</v>
      </c>
      <c r="C424" t="s">
        <v>7</v>
      </c>
      <c r="D424" s="2">
        <v>145753</v>
      </c>
      <c r="E424">
        <v>101</v>
      </c>
      <c r="F424" t="s">
        <v>13</v>
      </c>
      <c r="G424" s="2">
        <f t="shared" si="18"/>
        <v>138465.35</v>
      </c>
      <c r="H424" s="1">
        <f t="shared" si="19"/>
        <v>103</v>
      </c>
    </row>
    <row r="425" spans="1:8">
      <c r="A425" s="1">
        <v>424</v>
      </c>
      <c r="B425" t="str">
        <f t="shared" si="20"/>
        <v>Solar Power Plant Setup</v>
      </c>
      <c r="C425" t="s">
        <v>7</v>
      </c>
      <c r="D425" s="2">
        <v>896205</v>
      </c>
      <c r="E425">
        <v>239</v>
      </c>
      <c r="F425" t="s">
        <v>14</v>
      </c>
      <c r="G425" s="2">
        <f t="shared" si="18"/>
        <v>851394.75</v>
      </c>
      <c r="H425" s="1">
        <f t="shared" si="19"/>
        <v>269</v>
      </c>
    </row>
    <row r="426" spans="1:8">
      <c r="A426" s="1">
        <v>425</v>
      </c>
      <c r="B426" t="str">
        <f t="shared" si="20"/>
        <v>Water Treatment Pipeline</v>
      </c>
      <c r="C426" t="s">
        <v>6</v>
      </c>
      <c r="D426" s="2">
        <v>137907</v>
      </c>
      <c r="E426">
        <v>232</v>
      </c>
      <c r="F426" t="s">
        <v>14</v>
      </c>
      <c r="G426" s="2">
        <f t="shared" si="18"/>
        <v>158593.05</v>
      </c>
      <c r="H426" s="1">
        <f t="shared" si="19"/>
        <v>262</v>
      </c>
    </row>
    <row r="427" spans="1:8">
      <c r="A427" s="1">
        <v>426</v>
      </c>
      <c r="B427" t="str">
        <f t="shared" si="20"/>
        <v>National Highway Expansion</v>
      </c>
      <c r="C427" t="s">
        <v>8</v>
      </c>
      <c r="D427" s="2">
        <v>788232</v>
      </c>
      <c r="E427">
        <v>117</v>
      </c>
      <c r="F427" t="s">
        <v>14</v>
      </c>
      <c r="G427" s="2">
        <f t="shared" si="18"/>
        <v>748820.4</v>
      </c>
      <c r="H427" s="1">
        <f t="shared" si="19"/>
        <v>147</v>
      </c>
    </row>
    <row r="428" spans="1:8">
      <c r="A428" s="1">
        <v>427</v>
      </c>
      <c r="B428" t="str">
        <f t="shared" si="20"/>
        <v>Metro Corridor Extension</v>
      </c>
      <c r="C428" t="s">
        <v>4</v>
      </c>
      <c r="D428" s="2">
        <v>542225</v>
      </c>
      <c r="E428">
        <v>208</v>
      </c>
      <c r="F428" t="s">
        <v>13</v>
      </c>
      <c r="G428" s="2">
        <f t="shared" si="18"/>
        <v>515113.75</v>
      </c>
      <c r="H428" s="1">
        <f t="shared" si="19"/>
        <v>210</v>
      </c>
    </row>
    <row r="429" spans="1:8">
      <c r="A429" s="1">
        <v>428</v>
      </c>
      <c r="B429" t="str">
        <f t="shared" si="20"/>
        <v>Smart Grid Substation</v>
      </c>
      <c r="C429" t="s">
        <v>8</v>
      </c>
      <c r="D429" s="2">
        <v>385280</v>
      </c>
      <c r="E429">
        <v>105</v>
      </c>
      <c r="F429" t="s">
        <v>13</v>
      </c>
      <c r="G429" s="2">
        <f t="shared" si="18"/>
        <v>366016</v>
      </c>
      <c r="H429" s="1">
        <f t="shared" si="19"/>
        <v>107</v>
      </c>
    </row>
    <row r="430" spans="1:8">
      <c r="A430" s="1">
        <v>429</v>
      </c>
      <c r="B430" t="str">
        <f t="shared" si="20"/>
        <v>Elevated Flyover Construction</v>
      </c>
      <c r="C430" t="s">
        <v>8</v>
      </c>
      <c r="D430" s="2">
        <v>489574</v>
      </c>
      <c r="E430">
        <v>193</v>
      </c>
      <c r="F430" t="s">
        <v>14</v>
      </c>
      <c r="G430" s="2">
        <f t="shared" si="18"/>
        <v>465095.3</v>
      </c>
      <c r="H430" s="1">
        <f t="shared" si="19"/>
        <v>223</v>
      </c>
    </row>
    <row r="431" spans="1:8">
      <c r="A431" s="1">
        <v>430</v>
      </c>
      <c r="B431" t="str">
        <f t="shared" si="20"/>
        <v>Solar Power Plant Setup</v>
      </c>
      <c r="C431" t="s">
        <v>8</v>
      </c>
      <c r="D431" s="2">
        <v>627801</v>
      </c>
      <c r="E431">
        <v>182</v>
      </c>
      <c r="F431" t="s">
        <v>13</v>
      </c>
      <c r="G431" s="2">
        <f t="shared" si="18"/>
        <v>596410.95</v>
      </c>
      <c r="H431" s="1">
        <f t="shared" si="19"/>
        <v>184</v>
      </c>
    </row>
    <row r="432" spans="1:8">
      <c r="A432" s="1">
        <v>431</v>
      </c>
      <c r="B432" t="str">
        <f t="shared" si="20"/>
        <v>Water Treatment Pipeline</v>
      </c>
      <c r="C432" t="s">
        <v>6</v>
      </c>
      <c r="D432" s="2">
        <v>275533</v>
      </c>
      <c r="E432">
        <v>173</v>
      </c>
      <c r="F432" t="s">
        <v>13</v>
      </c>
      <c r="G432" s="2">
        <f t="shared" si="18"/>
        <v>316862.95</v>
      </c>
      <c r="H432" s="1">
        <f t="shared" si="19"/>
        <v>175</v>
      </c>
    </row>
    <row r="433" spans="1:8">
      <c r="A433" s="1">
        <v>432</v>
      </c>
      <c r="B433" t="str">
        <f t="shared" si="20"/>
        <v>National Highway Expansion</v>
      </c>
      <c r="C433" t="s">
        <v>6</v>
      </c>
      <c r="D433" s="2">
        <v>569333</v>
      </c>
      <c r="E433">
        <v>122</v>
      </c>
      <c r="F433" t="s">
        <v>13</v>
      </c>
      <c r="G433" s="2">
        <f t="shared" si="18"/>
        <v>654732.95</v>
      </c>
      <c r="H433" s="1">
        <f t="shared" si="19"/>
        <v>124</v>
      </c>
    </row>
    <row r="434" spans="1:8">
      <c r="A434" s="1">
        <v>433</v>
      </c>
      <c r="B434" t="str">
        <f t="shared" si="20"/>
        <v>Metro Corridor Extension</v>
      </c>
      <c r="C434" t="s">
        <v>6</v>
      </c>
      <c r="D434" s="2">
        <v>253298</v>
      </c>
      <c r="E434">
        <v>95</v>
      </c>
      <c r="F434" t="s">
        <v>14</v>
      </c>
      <c r="G434" s="2">
        <f t="shared" si="18"/>
        <v>291292.7</v>
      </c>
      <c r="H434" s="1">
        <f t="shared" si="19"/>
        <v>125</v>
      </c>
    </row>
    <row r="435" spans="1:8">
      <c r="A435" s="1">
        <v>434</v>
      </c>
      <c r="B435" t="str">
        <f t="shared" si="20"/>
        <v>Smart Grid Substation</v>
      </c>
      <c r="C435" t="s">
        <v>7</v>
      </c>
      <c r="D435" s="2">
        <v>230205</v>
      </c>
      <c r="E435">
        <v>186</v>
      </c>
      <c r="F435" t="s">
        <v>14</v>
      </c>
      <c r="G435" s="2">
        <f t="shared" si="18"/>
        <v>218694.75</v>
      </c>
      <c r="H435" s="1">
        <f t="shared" si="19"/>
        <v>216</v>
      </c>
    </row>
    <row r="436" spans="1:8">
      <c r="A436" s="1">
        <v>435</v>
      </c>
      <c r="B436" t="str">
        <f t="shared" si="20"/>
        <v>Elevated Flyover Construction</v>
      </c>
      <c r="C436" t="s">
        <v>6</v>
      </c>
      <c r="D436" s="2">
        <v>113366</v>
      </c>
      <c r="E436">
        <v>191</v>
      </c>
      <c r="F436" t="s">
        <v>13</v>
      </c>
      <c r="G436" s="2">
        <f t="shared" si="18"/>
        <v>130370.9</v>
      </c>
      <c r="H436" s="1">
        <f t="shared" si="19"/>
        <v>193</v>
      </c>
    </row>
    <row r="437" spans="1:8">
      <c r="A437" s="1">
        <v>436</v>
      </c>
      <c r="B437" t="str">
        <f t="shared" si="20"/>
        <v>Solar Power Plant Setup</v>
      </c>
      <c r="C437" t="s">
        <v>4</v>
      </c>
      <c r="D437" s="2">
        <v>515191</v>
      </c>
      <c r="E437">
        <v>198</v>
      </c>
      <c r="F437" t="s">
        <v>13</v>
      </c>
      <c r="G437" s="2">
        <f t="shared" si="18"/>
        <v>489431.45</v>
      </c>
      <c r="H437" s="1">
        <f t="shared" si="19"/>
        <v>200</v>
      </c>
    </row>
    <row r="438" spans="1:8">
      <c r="A438" s="1">
        <v>437</v>
      </c>
      <c r="B438" t="str">
        <f t="shared" si="20"/>
        <v>Water Treatment Pipeline</v>
      </c>
      <c r="C438" t="s">
        <v>6</v>
      </c>
      <c r="D438" s="2">
        <v>806171</v>
      </c>
      <c r="E438">
        <v>233</v>
      </c>
      <c r="F438" t="s">
        <v>13</v>
      </c>
      <c r="G438" s="2">
        <f t="shared" si="18"/>
        <v>927096.65</v>
      </c>
      <c r="H438" s="1">
        <f t="shared" si="19"/>
        <v>235</v>
      </c>
    </row>
    <row r="439" spans="1:8">
      <c r="A439" s="1">
        <v>438</v>
      </c>
      <c r="B439" t="str">
        <f t="shared" si="20"/>
        <v>National Highway Expansion</v>
      </c>
      <c r="C439" t="s">
        <v>8</v>
      </c>
      <c r="D439" s="2">
        <v>743168</v>
      </c>
      <c r="E439">
        <v>99</v>
      </c>
      <c r="F439" t="s">
        <v>13</v>
      </c>
      <c r="G439" s="2">
        <f t="shared" si="18"/>
        <v>706009.6</v>
      </c>
      <c r="H439" s="1">
        <f t="shared" si="19"/>
        <v>101</v>
      </c>
    </row>
    <row r="440" spans="1:8">
      <c r="A440" s="1">
        <v>439</v>
      </c>
      <c r="B440" t="str">
        <f t="shared" si="20"/>
        <v>Metro Corridor Extension</v>
      </c>
      <c r="C440" t="s">
        <v>7</v>
      </c>
      <c r="D440" s="2">
        <v>660083</v>
      </c>
      <c r="E440">
        <v>104</v>
      </c>
      <c r="F440" t="s">
        <v>14</v>
      </c>
      <c r="G440" s="2">
        <f t="shared" si="18"/>
        <v>627078.85</v>
      </c>
      <c r="H440" s="1">
        <f t="shared" si="19"/>
        <v>134</v>
      </c>
    </row>
    <row r="441" spans="1:8">
      <c r="A441" s="1">
        <v>440</v>
      </c>
      <c r="B441" t="str">
        <f t="shared" si="20"/>
        <v>Smart Grid Substation</v>
      </c>
      <c r="C441" t="s">
        <v>6</v>
      </c>
      <c r="D441" s="2">
        <v>120218</v>
      </c>
      <c r="E441">
        <v>178</v>
      </c>
      <c r="F441" t="s">
        <v>13</v>
      </c>
      <c r="G441" s="2">
        <f t="shared" si="18"/>
        <v>138250.7</v>
      </c>
      <c r="H441" s="1">
        <f t="shared" si="19"/>
        <v>180</v>
      </c>
    </row>
    <row r="442" spans="1:8">
      <c r="A442" s="1">
        <v>441</v>
      </c>
      <c r="B442" t="str">
        <f t="shared" si="20"/>
        <v>Elevated Flyover Construction</v>
      </c>
      <c r="C442" t="s">
        <v>4</v>
      </c>
      <c r="D442" s="2">
        <v>259466</v>
      </c>
      <c r="E442">
        <v>158</v>
      </c>
      <c r="F442" t="s">
        <v>13</v>
      </c>
      <c r="G442" s="2">
        <f t="shared" si="18"/>
        <v>246492.7</v>
      </c>
      <c r="H442" s="1">
        <f t="shared" si="19"/>
        <v>160</v>
      </c>
    </row>
    <row r="443" spans="1:8">
      <c r="A443" s="1">
        <v>442</v>
      </c>
      <c r="B443" t="str">
        <f t="shared" si="20"/>
        <v>Solar Power Plant Setup</v>
      </c>
      <c r="C443" t="s">
        <v>4</v>
      </c>
      <c r="D443" s="2">
        <v>808879</v>
      </c>
      <c r="E443">
        <v>109</v>
      </c>
      <c r="F443" t="s">
        <v>13</v>
      </c>
      <c r="G443" s="2">
        <f t="shared" si="18"/>
        <v>768435.05</v>
      </c>
      <c r="H443" s="1">
        <f t="shared" si="19"/>
        <v>111</v>
      </c>
    </row>
    <row r="444" spans="1:8">
      <c r="A444" s="1">
        <v>443</v>
      </c>
      <c r="B444" t="str">
        <f t="shared" si="20"/>
        <v>Water Treatment Pipeline</v>
      </c>
      <c r="C444" t="s">
        <v>4</v>
      </c>
      <c r="D444" s="2">
        <v>176257</v>
      </c>
      <c r="E444">
        <v>161</v>
      </c>
      <c r="F444" t="s">
        <v>13</v>
      </c>
      <c r="G444" s="2">
        <f t="shared" si="18"/>
        <v>167444.15</v>
      </c>
      <c r="H444" s="1">
        <f t="shared" si="19"/>
        <v>163</v>
      </c>
    </row>
    <row r="445" spans="1:8">
      <c r="A445" s="1">
        <v>444</v>
      </c>
      <c r="B445" t="str">
        <f t="shared" si="20"/>
        <v>National Highway Expansion</v>
      </c>
      <c r="C445" t="s">
        <v>6</v>
      </c>
      <c r="D445" s="2">
        <v>850765</v>
      </c>
      <c r="E445">
        <v>165</v>
      </c>
      <c r="F445" t="s">
        <v>14</v>
      </c>
      <c r="G445" s="2">
        <f t="shared" si="18"/>
        <v>978379.75</v>
      </c>
      <c r="H445" s="1">
        <f t="shared" si="19"/>
        <v>195</v>
      </c>
    </row>
    <row r="446" spans="1:8">
      <c r="A446" s="1">
        <v>445</v>
      </c>
      <c r="B446" t="str">
        <f t="shared" si="20"/>
        <v>Metro Corridor Extension</v>
      </c>
      <c r="C446" t="s">
        <v>6</v>
      </c>
      <c r="D446" s="2">
        <v>110610</v>
      </c>
      <c r="E446">
        <v>143</v>
      </c>
      <c r="F446" t="s">
        <v>14</v>
      </c>
      <c r="G446" s="2">
        <f t="shared" si="18"/>
        <v>127201.5</v>
      </c>
      <c r="H446" s="1">
        <f t="shared" si="19"/>
        <v>173</v>
      </c>
    </row>
    <row r="447" spans="1:8">
      <c r="A447" s="1">
        <v>446</v>
      </c>
      <c r="B447" t="str">
        <f t="shared" si="20"/>
        <v>Smart Grid Substation</v>
      </c>
      <c r="C447" t="s">
        <v>4</v>
      </c>
      <c r="D447" s="2">
        <v>629550</v>
      </c>
      <c r="E447">
        <v>134</v>
      </c>
      <c r="F447" t="s">
        <v>13</v>
      </c>
      <c r="G447" s="2">
        <f t="shared" si="18"/>
        <v>598072.5</v>
      </c>
      <c r="H447" s="1">
        <f t="shared" si="19"/>
        <v>136</v>
      </c>
    </row>
    <row r="448" spans="1:8">
      <c r="A448" s="1">
        <v>447</v>
      </c>
      <c r="B448" t="str">
        <f t="shared" si="20"/>
        <v>Elevated Flyover Construction</v>
      </c>
      <c r="C448" t="s">
        <v>4</v>
      </c>
      <c r="D448" s="2">
        <v>122921</v>
      </c>
      <c r="E448">
        <v>128</v>
      </c>
      <c r="F448" t="s">
        <v>13</v>
      </c>
      <c r="G448" s="2">
        <f t="shared" si="18"/>
        <v>116774.95</v>
      </c>
      <c r="H448" s="1">
        <f t="shared" si="19"/>
        <v>130</v>
      </c>
    </row>
    <row r="449" spans="1:8">
      <c r="A449" s="1">
        <v>448</v>
      </c>
      <c r="B449" t="str">
        <f t="shared" si="20"/>
        <v>Solar Power Plant Setup</v>
      </c>
      <c r="C449" t="s">
        <v>8</v>
      </c>
      <c r="D449" s="2">
        <v>776628</v>
      </c>
      <c r="E449">
        <v>181</v>
      </c>
      <c r="F449" t="s">
        <v>14</v>
      </c>
      <c r="G449" s="2">
        <f t="shared" si="18"/>
        <v>737796.6</v>
      </c>
      <c r="H449" s="1">
        <f t="shared" si="19"/>
        <v>211</v>
      </c>
    </row>
    <row r="450" spans="1:8">
      <c r="A450" s="1">
        <v>449</v>
      </c>
      <c r="B450" t="str">
        <f t="shared" si="20"/>
        <v>Water Treatment Pipeline</v>
      </c>
      <c r="C450" t="s">
        <v>4</v>
      </c>
      <c r="D450" s="2">
        <v>336151</v>
      </c>
      <c r="E450">
        <v>123</v>
      </c>
      <c r="F450" t="s">
        <v>13</v>
      </c>
      <c r="G450" s="2">
        <f t="shared" ref="G450:G513" si="21">IF(C450="North",D450*1.15,D450*0.95)</f>
        <v>319343.45</v>
      </c>
      <c r="H450" s="1">
        <f t="shared" ref="H450:H513" si="22">IF(F450="Yes",E450+30,E450+2)</f>
        <v>125</v>
      </c>
    </row>
    <row r="451" spans="1:8">
      <c r="A451" s="1">
        <v>450</v>
      </c>
      <c r="B451" t="str">
        <f t="shared" ref="B451:B514" si="23">VLOOKUP(MOD(A451,6),$L$4:$M$9,2,FALSE)</f>
        <v>National Highway Expansion</v>
      </c>
      <c r="C451" t="s">
        <v>7</v>
      </c>
      <c r="D451" s="2">
        <v>376045</v>
      </c>
      <c r="E451">
        <v>219</v>
      </c>
      <c r="F451" t="s">
        <v>14</v>
      </c>
      <c r="G451" s="2">
        <f t="shared" si="21"/>
        <v>357242.75</v>
      </c>
      <c r="H451" s="1">
        <f t="shared" si="22"/>
        <v>249</v>
      </c>
    </row>
    <row r="452" spans="1:8">
      <c r="A452" s="1">
        <v>451</v>
      </c>
      <c r="B452" t="str">
        <f t="shared" si="23"/>
        <v>Metro Corridor Extension</v>
      </c>
      <c r="C452" t="s">
        <v>6</v>
      </c>
      <c r="D452" s="2">
        <v>589595</v>
      </c>
      <c r="E452">
        <v>101</v>
      </c>
      <c r="F452" t="s">
        <v>13</v>
      </c>
      <c r="G452" s="2">
        <f t="shared" si="21"/>
        <v>678034.25</v>
      </c>
      <c r="H452" s="1">
        <f t="shared" si="22"/>
        <v>103</v>
      </c>
    </row>
    <row r="453" spans="1:8">
      <c r="A453" s="1">
        <v>452</v>
      </c>
      <c r="B453" t="str">
        <f t="shared" si="23"/>
        <v>Smart Grid Substation</v>
      </c>
      <c r="C453" t="s">
        <v>6</v>
      </c>
      <c r="D453" s="2">
        <v>138569</v>
      </c>
      <c r="E453">
        <v>113</v>
      </c>
      <c r="F453" t="s">
        <v>14</v>
      </c>
      <c r="G453" s="2">
        <f t="shared" si="21"/>
        <v>159354.35</v>
      </c>
      <c r="H453" s="1">
        <f t="shared" si="22"/>
        <v>143</v>
      </c>
    </row>
    <row r="454" spans="1:8">
      <c r="A454" s="1">
        <v>453</v>
      </c>
      <c r="B454" t="str">
        <f t="shared" si="23"/>
        <v>Elevated Flyover Construction</v>
      </c>
      <c r="C454" t="s">
        <v>7</v>
      </c>
      <c r="D454" s="2">
        <v>671128</v>
      </c>
      <c r="E454">
        <v>224</v>
      </c>
      <c r="F454" t="s">
        <v>13</v>
      </c>
      <c r="G454" s="2">
        <f t="shared" si="21"/>
        <v>637571.6</v>
      </c>
      <c r="H454" s="1">
        <f t="shared" si="22"/>
        <v>226</v>
      </c>
    </row>
    <row r="455" spans="1:8">
      <c r="A455" s="1">
        <v>454</v>
      </c>
      <c r="B455" t="str">
        <f t="shared" si="23"/>
        <v>Solar Power Plant Setup</v>
      </c>
      <c r="C455" t="s">
        <v>7</v>
      </c>
      <c r="D455" s="2">
        <v>187990</v>
      </c>
      <c r="E455">
        <v>171</v>
      </c>
      <c r="F455" t="s">
        <v>14</v>
      </c>
      <c r="G455" s="2">
        <f t="shared" si="21"/>
        <v>178590.5</v>
      </c>
      <c r="H455" s="1">
        <f t="shared" si="22"/>
        <v>201</v>
      </c>
    </row>
    <row r="456" spans="1:8">
      <c r="A456" s="1">
        <v>455</v>
      </c>
      <c r="B456" t="str">
        <f t="shared" si="23"/>
        <v>Water Treatment Pipeline</v>
      </c>
      <c r="C456" t="s">
        <v>7</v>
      </c>
      <c r="D456" s="2">
        <v>149314</v>
      </c>
      <c r="E456">
        <v>125</v>
      </c>
      <c r="F456" t="s">
        <v>13</v>
      </c>
      <c r="G456" s="2">
        <f t="shared" si="21"/>
        <v>141848.3</v>
      </c>
      <c r="H456" s="1">
        <f t="shared" si="22"/>
        <v>127</v>
      </c>
    </row>
    <row r="457" spans="1:8">
      <c r="A457" s="1">
        <v>456</v>
      </c>
      <c r="B457" t="str">
        <f t="shared" si="23"/>
        <v>National Highway Expansion</v>
      </c>
      <c r="C457" t="s">
        <v>7</v>
      </c>
      <c r="D457" s="2">
        <v>520062</v>
      </c>
      <c r="E457">
        <v>232</v>
      </c>
      <c r="F457" t="s">
        <v>13</v>
      </c>
      <c r="G457" s="2">
        <f t="shared" si="21"/>
        <v>494058.9</v>
      </c>
      <c r="H457" s="1">
        <f t="shared" si="22"/>
        <v>234</v>
      </c>
    </row>
    <row r="458" spans="1:8">
      <c r="A458" s="1">
        <v>457</v>
      </c>
      <c r="B458" t="str">
        <f t="shared" si="23"/>
        <v>Metro Corridor Extension</v>
      </c>
      <c r="C458" t="s">
        <v>4</v>
      </c>
      <c r="D458" s="2">
        <v>403914</v>
      </c>
      <c r="E458">
        <v>196</v>
      </c>
      <c r="F458" t="s">
        <v>14</v>
      </c>
      <c r="G458" s="2">
        <f t="shared" si="21"/>
        <v>383718.3</v>
      </c>
      <c r="H458" s="1">
        <f t="shared" si="22"/>
        <v>226</v>
      </c>
    </row>
    <row r="459" spans="1:8">
      <c r="A459" s="1">
        <v>458</v>
      </c>
      <c r="B459" t="str">
        <f t="shared" si="23"/>
        <v>Smart Grid Substation</v>
      </c>
      <c r="C459" t="s">
        <v>4</v>
      </c>
      <c r="D459" s="2">
        <v>533504</v>
      </c>
      <c r="E459">
        <v>165</v>
      </c>
      <c r="F459" t="s">
        <v>13</v>
      </c>
      <c r="G459" s="2">
        <f t="shared" si="21"/>
        <v>506828.8</v>
      </c>
      <c r="H459" s="1">
        <f t="shared" si="22"/>
        <v>167</v>
      </c>
    </row>
    <row r="460" spans="1:8">
      <c r="A460" s="1">
        <v>459</v>
      </c>
      <c r="B460" t="str">
        <f t="shared" si="23"/>
        <v>Elevated Flyover Construction</v>
      </c>
      <c r="C460" t="s">
        <v>7</v>
      </c>
      <c r="D460" s="2">
        <v>656064</v>
      </c>
      <c r="E460">
        <v>150</v>
      </c>
      <c r="F460" t="s">
        <v>13</v>
      </c>
      <c r="G460" s="2">
        <f t="shared" si="21"/>
        <v>623260.8</v>
      </c>
      <c r="H460" s="1">
        <f t="shared" si="22"/>
        <v>152</v>
      </c>
    </row>
    <row r="461" spans="1:8">
      <c r="A461" s="1">
        <v>460</v>
      </c>
      <c r="B461" t="str">
        <f t="shared" si="23"/>
        <v>Solar Power Plant Setup</v>
      </c>
      <c r="C461" t="s">
        <v>8</v>
      </c>
      <c r="D461" s="2">
        <v>191531</v>
      </c>
      <c r="E461">
        <v>132</v>
      </c>
      <c r="F461" t="s">
        <v>13</v>
      </c>
      <c r="G461" s="2">
        <f t="shared" si="21"/>
        <v>181954.45</v>
      </c>
      <c r="H461" s="1">
        <f t="shared" si="22"/>
        <v>134</v>
      </c>
    </row>
    <row r="462" spans="1:8">
      <c r="A462" s="1">
        <v>461</v>
      </c>
      <c r="B462" t="str">
        <f t="shared" si="23"/>
        <v>Water Treatment Pipeline</v>
      </c>
      <c r="C462" t="s">
        <v>5</v>
      </c>
      <c r="D462" s="2">
        <v>183377</v>
      </c>
      <c r="E462">
        <v>194</v>
      </c>
      <c r="F462" t="s">
        <v>13</v>
      </c>
      <c r="G462" s="2">
        <f t="shared" si="21"/>
        <v>174208.15</v>
      </c>
      <c r="H462" s="1">
        <f t="shared" si="22"/>
        <v>196</v>
      </c>
    </row>
    <row r="463" spans="1:8">
      <c r="A463" s="1">
        <v>462</v>
      </c>
      <c r="B463" t="str">
        <f t="shared" si="23"/>
        <v>National Highway Expansion</v>
      </c>
      <c r="C463" t="s">
        <v>4</v>
      </c>
      <c r="D463" s="2">
        <v>654677</v>
      </c>
      <c r="E463">
        <v>156</v>
      </c>
      <c r="F463" t="s">
        <v>13</v>
      </c>
      <c r="G463" s="2">
        <f t="shared" si="21"/>
        <v>621943.15</v>
      </c>
      <c r="H463" s="1">
        <f t="shared" si="22"/>
        <v>158</v>
      </c>
    </row>
    <row r="464" spans="1:8">
      <c r="A464" s="1">
        <v>463</v>
      </c>
      <c r="B464" t="str">
        <f t="shared" si="23"/>
        <v>Metro Corridor Extension</v>
      </c>
      <c r="C464" t="s">
        <v>6</v>
      </c>
      <c r="D464" s="2">
        <v>508947</v>
      </c>
      <c r="E464">
        <v>231</v>
      </c>
      <c r="F464" t="s">
        <v>13</v>
      </c>
      <c r="G464" s="2">
        <f t="shared" si="21"/>
        <v>585289.05</v>
      </c>
      <c r="H464" s="1">
        <f t="shared" si="22"/>
        <v>233</v>
      </c>
    </row>
    <row r="465" spans="1:8">
      <c r="A465" s="1">
        <v>464</v>
      </c>
      <c r="B465" t="str">
        <f t="shared" si="23"/>
        <v>Smart Grid Substation</v>
      </c>
      <c r="C465" t="s">
        <v>8</v>
      </c>
      <c r="D465" s="2">
        <v>181590</v>
      </c>
      <c r="E465">
        <v>111</v>
      </c>
      <c r="F465" t="s">
        <v>13</v>
      </c>
      <c r="G465" s="2">
        <f t="shared" si="21"/>
        <v>172510.5</v>
      </c>
      <c r="H465" s="1">
        <f t="shared" si="22"/>
        <v>113</v>
      </c>
    </row>
    <row r="466" spans="1:8">
      <c r="A466" s="1">
        <v>465</v>
      </c>
      <c r="B466" t="str">
        <f t="shared" si="23"/>
        <v>Elevated Flyover Construction</v>
      </c>
      <c r="C466" t="s">
        <v>8</v>
      </c>
      <c r="D466" s="2">
        <v>531225</v>
      </c>
      <c r="E466">
        <v>187</v>
      </c>
      <c r="F466" t="s">
        <v>14</v>
      </c>
      <c r="G466" s="2">
        <f t="shared" si="21"/>
        <v>504663.75</v>
      </c>
      <c r="H466" s="1">
        <f t="shared" si="22"/>
        <v>217</v>
      </c>
    </row>
    <row r="467" spans="1:8">
      <c r="A467" s="1">
        <v>466</v>
      </c>
      <c r="B467" t="str">
        <f t="shared" si="23"/>
        <v>Solar Power Plant Setup</v>
      </c>
      <c r="C467" t="s">
        <v>4</v>
      </c>
      <c r="D467" s="2">
        <v>177420</v>
      </c>
      <c r="E467">
        <v>98</v>
      </c>
      <c r="F467" t="s">
        <v>14</v>
      </c>
      <c r="G467" s="2">
        <f t="shared" si="21"/>
        <v>168549</v>
      </c>
      <c r="H467" s="1">
        <f t="shared" si="22"/>
        <v>128</v>
      </c>
    </row>
    <row r="468" spans="1:8">
      <c r="A468" s="1">
        <v>467</v>
      </c>
      <c r="B468" t="str">
        <f t="shared" si="23"/>
        <v>Water Treatment Pipeline</v>
      </c>
      <c r="C468" t="s">
        <v>8</v>
      </c>
      <c r="D468" s="2">
        <v>490797</v>
      </c>
      <c r="E468">
        <v>112</v>
      </c>
      <c r="F468" t="s">
        <v>14</v>
      </c>
      <c r="G468" s="2">
        <f t="shared" si="21"/>
        <v>466257.15</v>
      </c>
      <c r="H468" s="1">
        <f t="shared" si="22"/>
        <v>142</v>
      </c>
    </row>
    <row r="469" spans="1:8">
      <c r="A469" s="1">
        <v>468</v>
      </c>
      <c r="B469" t="str">
        <f t="shared" si="23"/>
        <v>National Highway Expansion</v>
      </c>
      <c r="C469" t="s">
        <v>6</v>
      </c>
      <c r="D469" s="2">
        <v>134006</v>
      </c>
      <c r="E469">
        <v>115</v>
      </c>
      <c r="F469" t="s">
        <v>14</v>
      </c>
      <c r="G469" s="2">
        <f t="shared" si="21"/>
        <v>154106.9</v>
      </c>
      <c r="H469" s="1">
        <f t="shared" si="22"/>
        <v>145</v>
      </c>
    </row>
    <row r="470" spans="1:8">
      <c r="A470" s="1">
        <v>469</v>
      </c>
      <c r="B470" t="str">
        <f t="shared" si="23"/>
        <v>Metro Corridor Extension</v>
      </c>
      <c r="C470" t="s">
        <v>8</v>
      </c>
      <c r="D470" s="2">
        <v>775510</v>
      </c>
      <c r="E470">
        <v>140</v>
      </c>
      <c r="F470" t="s">
        <v>13</v>
      </c>
      <c r="G470" s="2">
        <f t="shared" si="21"/>
        <v>736734.5</v>
      </c>
      <c r="H470" s="1">
        <f t="shared" si="22"/>
        <v>142</v>
      </c>
    </row>
    <row r="471" spans="1:8">
      <c r="A471" s="1">
        <v>470</v>
      </c>
      <c r="B471" t="str">
        <f t="shared" si="23"/>
        <v>Smart Grid Substation</v>
      </c>
      <c r="C471" t="s">
        <v>4</v>
      </c>
      <c r="D471" s="2">
        <v>545913</v>
      </c>
      <c r="E471">
        <v>104</v>
      </c>
      <c r="F471" t="s">
        <v>13</v>
      </c>
      <c r="G471" s="2">
        <f t="shared" si="21"/>
        <v>518617.35</v>
      </c>
      <c r="H471" s="1">
        <f t="shared" si="22"/>
        <v>106</v>
      </c>
    </row>
    <row r="472" spans="1:8">
      <c r="A472" s="1">
        <v>471</v>
      </c>
      <c r="B472" t="str">
        <f t="shared" si="23"/>
        <v>Elevated Flyover Construction</v>
      </c>
      <c r="C472" t="s">
        <v>7</v>
      </c>
      <c r="D472" s="2">
        <v>585257</v>
      </c>
      <c r="E472">
        <v>213</v>
      </c>
      <c r="F472" t="s">
        <v>14</v>
      </c>
      <c r="G472" s="2">
        <f t="shared" si="21"/>
        <v>555994.15</v>
      </c>
      <c r="H472" s="1">
        <f t="shared" si="22"/>
        <v>243</v>
      </c>
    </row>
    <row r="473" spans="1:8">
      <c r="A473" s="1">
        <v>472</v>
      </c>
      <c r="B473" t="str">
        <f t="shared" si="23"/>
        <v>Solar Power Plant Setup</v>
      </c>
      <c r="C473" t="s">
        <v>4</v>
      </c>
      <c r="D473" s="2">
        <v>344093</v>
      </c>
      <c r="E473">
        <v>121</v>
      </c>
      <c r="F473" t="s">
        <v>13</v>
      </c>
      <c r="G473" s="2">
        <f t="shared" si="21"/>
        <v>326888.35</v>
      </c>
      <c r="H473" s="1">
        <f t="shared" si="22"/>
        <v>123</v>
      </c>
    </row>
    <row r="474" spans="1:8">
      <c r="A474" s="1">
        <v>473</v>
      </c>
      <c r="B474" t="str">
        <f t="shared" si="23"/>
        <v>Water Treatment Pipeline</v>
      </c>
      <c r="C474" t="s">
        <v>6</v>
      </c>
      <c r="D474" s="2">
        <v>420649</v>
      </c>
      <c r="E474">
        <v>211</v>
      </c>
      <c r="F474" t="s">
        <v>14</v>
      </c>
      <c r="G474" s="2">
        <f t="shared" si="21"/>
        <v>483746.35</v>
      </c>
      <c r="H474" s="1">
        <f t="shared" si="22"/>
        <v>241</v>
      </c>
    </row>
    <row r="475" spans="1:8">
      <c r="A475" s="1">
        <v>474</v>
      </c>
      <c r="B475" t="str">
        <f t="shared" si="23"/>
        <v>National Highway Expansion</v>
      </c>
      <c r="C475" t="s">
        <v>6</v>
      </c>
      <c r="D475" s="2">
        <v>503734</v>
      </c>
      <c r="E475">
        <v>174</v>
      </c>
      <c r="F475" t="s">
        <v>14</v>
      </c>
      <c r="G475" s="2">
        <f t="shared" si="21"/>
        <v>579294.1</v>
      </c>
      <c r="H475" s="1">
        <f t="shared" si="22"/>
        <v>204</v>
      </c>
    </row>
    <row r="476" spans="1:8">
      <c r="A476" s="1">
        <v>475</v>
      </c>
      <c r="B476" t="str">
        <f t="shared" si="23"/>
        <v>Metro Corridor Extension</v>
      </c>
      <c r="C476" t="s">
        <v>7</v>
      </c>
      <c r="D476" s="2">
        <v>760205</v>
      </c>
      <c r="E476">
        <v>208</v>
      </c>
      <c r="F476" t="s">
        <v>14</v>
      </c>
      <c r="G476" s="2">
        <f t="shared" si="21"/>
        <v>722194.75</v>
      </c>
      <c r="H476" s="1">
        <f t="shared" si="22"/>
        <v>238</v>
      </c>
    </row>
    <row r="477" spans="1:8">
      <c r="A477" s="1">
        <v>476</v>
      </c>
      <c r="B477" t="str">
        <f t="shared" si="23"/>
        <v>Smart Grid Substation</v>
      </c>
      <c r="C477" t="s">
        <v>4</v>
      </c>
      <c r="D477" s="2">
        <v>894235</v>
      </c>
      <c r="E477">
        <v>155</v>
      </c>
      <c r="F477" t="s">
        <v>14</v>
      </c>
      <c r="G477" s="2">
        <f t="shared" si="21"/>
        <v>849523.25</v>
      </c>
      <c r="H477" s="1">
        <f t="shared" si="22"/>
        <v>185</v>
      </c>
    </row>
    <row r="478" spans="1:8">
      <c r="A478" s="1">
        <v>477</v>
      </c>
      <c r="B478" t="str">
        <f t="shared" si="23"/>
        <v>Elevated Flyover Construction</v>
      </c>
      <c r="C478" t="s">
        <v>7</v>
      </c>
      <c r="D478" s="2">
        <v>322437</v>
      </c>
      <c r="E478">
        <v>145</v>
      </c>
      <c r="F478" t="s">
        <v>14</v>
      </c>
      <c r="G478" s="2">
        <f t="shared" si="21"/>
        <v>306315.15</v>
      </c>
      <c r="H478" s="1">
        <f t="shared" si="22"/>
        <v>175</v>
      </c>
    </row>
    <row r="479" spans="1:8">
      <c r="A479" s="1">
        <v>478</v>
      </c>
      <c r="B479" t="str">
        <f t="shared" si="23"/>
        <v>Solar Power Plant Setup</v>
      </c>
      <c r="C479" t="s">
        <v>5</v>
      </c>
      <c r="D479" s="2">
        <v>410899</v>
      </c>
      <c r="E479">
        <v>112</v>
      </c>
      <c r="F479" t="s">
        <v>14</v>
      </c>
      <c r="G479" s="2">
        <f t="shared" si="21"/>
        <v>390354.05</v>
      </c>
      <c r="H479" s="1">
        <f t="shared" si="22"/>
        <v>142</v>
      </c>
    </row>
    <row r="480" spans="1:8">
      <c r="A480" s="1">
        <v>479</v>
      </c>
      <c r="B480" t="str">
        <f t="shared" si="23"/>
        <v>Water Treatment Pipeline</v>
      </c>
      <c r="C480" t="s">
        <v>4</v>
      </c>
      <c r="D480" s="2">
        <v>500067</v>
      </c>
      <c r="E480">
        <v>221</v>
      </c>
      <c r="F480" t="s">
        <v>14</v>
      </c>
      <c r="G480" s="2">
        <f t="shared" si="21"/>
        <v>475063.65</v>
      </c>
      <c r="H480" s="1">
        <f t="shared" si="22"/>
        <v>251</v>
      </c>
    </row>
    <row r="481" spans="1:8">
      <c r="A481" s="1">
        <v>480</v>
      </c>
      <c r="B481" t="str">
        <f t="shared" si="23"/>
        <v>National Highway Expansion</v>
      </c>
      <c r="C481" t="s">
        <v>4</v>
      </c>
      <c r="D481" s="2">
        <v>612262</v>
      </c>
      <c r="E481">
        <v>108</v>
      </c>
      <c r="F481" t="s">
        <v>14</v>
      </c>
      <c r="G481" s="2">
        <f t="shared" si="21"/>
        <v>581648.9</v>
      </c>
      <c r="H481" s="1">
        <f t="shared" si="22"/>
        <v>138</v>
      </c>
    </row>
    <row r="482" spans="1:8">
      <c r="A482" s="1">
        <v>481</v>
      </c>
      <c r="B482" t="str">
        <f t="shared" si="23"/>
        <v>Metro Corridor Extension</v>
      </c>
      <c r="C482" t="s">
        <v>4</v>
      </c>
      <c r="D482" s="2">
        <v>697209</v>
      </c>
      <c r="E482">
        <v>133</v>
      </c>
      <c r="F482" t="s">
        <v>13</v>
      </c>
      <c r="G482" s="2">
        <f t="shared" si="21"/>
        <v>662348.55</v>
      </c>
      <c r="H482" s="1">
        <f t="shared" si="22"/>
        <v>135</v>
      </c>
    </row>
    <row r="483" spans="1:8">
      <c r="A483" s="1">
        <v>482</v>
      </c>
      <c r="B483" t="str">
        <f t="shared" si="23"/>
        <v>Smart Grid Substation</v>
      </c>
      <c r="C483" t="s">
        <v>8</v>
      </c>
      <c r="D483" s="2">
        <v>708846</v>
      </c>
      <c r="E483">
        <v>162</v>
      </c>
      <c r="F483" t="s">
        <v>14</v>
      </c>
      <c r="G483" s="2">
        <f t="shared" si="21"/>
        <v>673403.7</v>
      </c>
      <c r="H483" s="1">
        <f t="shared" si="22"/>
        <v>192</v>
      </c>
    </row>
    <row r="484" spans="1:8">
      <c r="A484" s="1">
        <v>483</v>
      </c>
      <c r="B484" t="str">
        <f t="shared" si="23"/>
        <v>Elevated Flyover Construction</v>
      </c>
      <c r="C484" t="s">
        <v>4</v>
      </c>
      <c r="D484" s="2">
        <v>570508</v>
      </c>
      <c r="E484">
        <v>191</v>
      </c>
      <c r="F484" t="s">
        <v>13</v>
      </c>
      <c r="G484" s="2">
        <f t="shared" si="21"/>
        <v>541982.6</v>
      </c>
      <c r="H484" s="1">
        <f t="shared" si="22"/>
        <v>193</v>
      </c>
    </row>
    <row r="485" spans="1:8">
      <c r="A485" s="1">
        <v>484</v>
      </c>
      <c r="B485" t="str">
        <f t="shared" si="23"/>
        <v>Solar Power Plant Setup</v>
      </c>
      <c r="C485" t="s">
        <v>7</v>
      </c>
      <c r="D485" s="2">
        <v>542516</v>
      </c>
      <c r="E485">
        <v>172</v>
      </c>
      <c r="F485" t="s">
        <v>14</v>
      </c>
      <c r="G485" s="2">
        <f t="shared" si="21"/>
        <v>515390.2</v>
      </c>
      <c r="H485" s="1">
        <f t="shared" si="22"/>
        <v>202</v>
      </c>
    </row>
    <row r="486" spans="1:8">
      <c r="A486" s="1">
        <v>485</v>
      </c>
      <c r="B486" t="str">
        <f t="shared" si="23"/>
        <v>Water Treatment Pipeline</v>
      </c>
      <c r="C486" t="s">
        <v>6</v>
      </c>
      <c r="D486" s="2">
        <v>442375</v>
      </c>
      <c r="E486">
        <v>232</v>
      </c>
      <c r="F486" t="s">
        <v>13</v>
      </c>
      <c r="G486" s="2">
        <f t="shared" si="21"/>
        <v>508731.25</v>
      </c>
      <c r="H486" s="1">
        <f t="shared" si="22"/>
        <v>234</v>
      </c>
    </row>
    <row r="487" spans="1:8">
      <c r="A487" s="1">
        <v>486</v>
      </c>
      <c r="B487" t="str">
        <f t="shared" si="23"/>
        <v>National Highway Expansion</v>
      </c>
      <c r="C487" t="s">
        <v>6</v>
      </c>
      <c r="D487" s="2">
        <v>441737</v>
      </c>
      <c r="E487">
        <v>149</v>
      </c>
      <c r="F487" t="s">
        <v>13</v>
      </c>
      <c r="G487" s="2">
        <f t="shared" si="21"/>
        <v>507997.55</v>
      </c>
      <c r="H487" s="1">
        <f t="shared" si="22"/>
        <v>151</v>
      </c>
    </row>
    <row r="488" spans="1:8">
      <c r="A488" s="1">
        <v>487</v>
      </c>
      <c r="B488" t="str">
        <f t="shared" si="23"/>
        <v>Metro Corridor Extension</v>
      </c>
      <c r="C488" t="s">
        <v>7</v>
      </c>
      <c r="D488" s="2">
        <v>795425</v>
      </c>
      <c r="E488">
        <v>163</v>
      </c>
      <c r="F488" t="s">
        <v>13</v>
      </c>
      <c r="G488" s="2">
        <f t="shared" si="21"/>
        <v>755653.75</v>
      </c>
      <c r="H488" s="1">
        <f t="shared" si="22"/>
        <v>165</v>
      </c>
    </row>
    <row r="489" spans="1:8">
      <c r="A489" s="1">
        <v>488</v>
      </c>
      <c r="B489" t="str">
        <f t="shared" si="23"/>
        <v>Smart Grid Substation</v>
      </c>
      <c r="C489" t="s">
        <v>6</v>
      </c>
      <c r="D489" s="2">
        <v>239961</v>
      </c>
      <c r="E489">
        <v>183</v>
      </c>
      <c r="F489" t="s">
        <v>13</v>
      </c>
      <c r="G489" s="2">
        <f t="shared" si="21"/>
        <v>275955.15</v>
      </c>
      <c r="H489" s="1">
        <f t="shared" si="22"/>
        <v>185</v>
      </c>
    </row>
    <row r="490" spans="1:8">
      <c r="A490" s="1">
        <v>489</v>
      </c>
      <c r="B490" t="str">
        <f t="shared" si="23"/>
        <v>Elevated Flyover Construction</v>
      </c>
      <c r="C490" t="s">
        <v>8</v>
      </c>
      <c r="D490" s="2">
        <v>288664</v>
      </c>
      <c r="E490">
        <v>139</v>
      </c>
      <c r="F490" t="s">
        <v>13</v>
      </c>
      <c r="G490" s="2">
        <f t="shared" si="21"/>
        <v>274230.8</v>
      </c>
      <c r="H490" s="1">
        <f t="shared" si="22"/>
        <v>141</v>
      </c>
    </row>
    <row r="491" spans="1:8">
      <c r="A491" s="1">
        <v>490</v>
      </c>
      <c r="B491" t="str">
        <f t="shared" si="23"/>
        <v>Solar Power Plant Setup</v>
      </c>
      <c r="C491" t="s">
        <v>4</v>
      </c>
      <c r="D491" s="2">
        <v>622425</v>
      </c>
      <c r="E491">
        <v>120</v>
      </c>
      <c r="F491" t="s">
        <v>13</v>
      </c>
      <c r="G491" s="2">
        <f t="shared" si="21"/>
        <v>591303.75</v>
      </c>
      <c r="H491" s="1">
        <f t="shared" si="22"/>
        <v>122</v>
      </c>
    </row>
    <row r="492" spans="1:8">
      <c r="A492" s="1">
        <v>491</v>
      </c>
      <c r="B492" t="str">
        <f t="shared" si="23"/>
        <v>Water Treatment Pipeline</v>
      </c>
      <c r="C492" t="s">
        <v>7</v>
      </c>
      <c r="D492" s="2">
        <v>570854</v>
      </c>
      <c r="E492">
        <v>233</v>
      </c>
      <c r="F492" t="s">
        <v>13</v>
      </c>
      <c r="G492" s="2">
        <f t="shared" si="21"/>
        <v>542311.3</v>
      </c>
      <c r="H492" s="1">
        <f t="shared" si="22"/>
        <v>235</v>
      </c>
    </row>
    <row r="493" spans="1:8">
      <c r="A493" s="1">
        <v>492</v>
      </c>
      <c r="B493" t="str">
        <f t="shared" si="23"/>
        <v>National Highway Expansion</v>
      </c>
      <c r="C493" t="s">
        <v>6</v>
      </c>
      <c r="D493" s="2">
        <v>466932</v>
      </c>
      <c r="E493">
        <v>109</v>
      </c>
      <c r="F493" t="s">
        <v>13</v>
      </c>
      <c r="G493" s="2">
        <f t="shared" si="21"/>
        <v>536971.8</v>
      </c>
      <c r="H493" s="1">
        <f t="shared" si="22"/>
        <v>111</v>
      </c>
    </row>
    <row r="494" spans="1:8">
      <c r="A494" s="1">
        <v>493</v>
      </c>
      <c r="B494" t="str">
        <f t="shared" si="23"/>
        <v>Metro Corridor Extension</v>
      </c>
      <c r="C494" t="s">
        <v>8</v>
      </c>
      <c r="D494" s="2">
        <v>451718</v>
      </c>
      <c r="E494">
        <v>171</v>
      </c>
      <c r="F494" t="s">
        <v>13</v>
      </c>
      <c r="G494" s="2">
        <f t="shared" si="21"/>
        <v>429132.1</v>
      </c>
      <c r="H494" s="1">
        <f t="shared" si="22"/>
        <v>173</v>
      </c>
    </row>
    <row r="495" spans="1:8">
      <c r="A495" s="1">
        <v>494</v>
      </c>
      <c r="B495" t="str">
        <f t="shared" si="23"/>
        <v>Smart Grid Substation</v>
      </c>
      <c r="C495" t="s">
        <v>8</v>
      </c>
      <c r="D495" s="2">
        <v>475689</v>
      </c>
      <c r="E495">
        <v>102</v>
      </c>
      <c r="F495" t="s">
        <v>13</v>
      </c>
      <c r="G495" s="2">
        <f t="shared" si="21"/>
        <v>451904.55</v>
      </c>
      <c r="H495" s="1">
        <f t="shared" si="22"/>
        <v>104</v>
      </c>
    </row>
    <row r="496" spans="1:8">
      <c r="A496" s="1">
        <v>495</v>
      </c>
      <c r="B496" t="str">
        <f t="shared" si="23"/>
        <v>Elevated Flyover Construction</v>
      </c>
      <c r="C496" t="s">
        <v>7</v>
      </c>
      <c r="D496" s="2">
        <v>336596</v>
      </c>
      <c r="E496">
        <v>216</v>
      </c>
      <c r="F496" t="s">
        <v>14</v>
      </c>
      <c r="G496" s="2">
        <f t="shared" si="21"/>
        <v>319766.2</v>
      </c>
      <c r="H496" s="1">
        <f t="shared" si="22"/>
        <v>246</v>
      </c>
    </row>
    <row r="497" spans="1:8">
      <c r="A497" s="1">
        <v>496</v>
      </c>
      <c r="B497" t="str">
        <f t="shared" si="23"/>
        <v>Solar Power Plant Setup</v>
      </c>
      <c r="C497" t="s">
        <v>7</v>
      </c>
      <c r="D497" s="2">
        <v>841372</v>
      </c>
      <c r="E497">
        <v>214</v>
      </c>
      <c r="F497" t="s">
        <v>13</v>
      </c>
      <c r="G497" s="2">
        <f t="shared" si="21"/>
        <v>799303.4</v>
      </c>
      <c r="H497" s="1">
        <f t="shared" si="22"/>
        <v>216</v>
      </c>
    </row>
    <row r="498" spans="1:8">
      <c r="A498" s="1">
        <v>497</v>
      </c>
      <c r="B498" t="str">
        <f t="shared" si="23"/>
        <v>Water Treatment Pipeline</v>
      </c>
      <c r="C498" t="s">
        <v>7</v>
      </c>
      <c r="D498" s="2">
        <v>172976</v>
      </c>
      <c r="E498">
        <v>196</v>
      </c>
      <c r="F498" t="s">
        <v>13</v>
      </c>
      <c r="G498" s="2">
        <f t="shared" si="21"/>
        <v>164327.2</v>
      </c>
      <c r="H498" s="1">
        <f t="shared" si="22"/>
        <v>198</v>
      </c>
    </row>
    <row r="499" spans="1:8">
      <c r="A499" s="1">
        <v>498</v>
      </c>
      <c r="B499" t="str">
        <f t="shared" si="23"/>
        <v>National Highway Expansion</v>
      </c>
      <c r="C499" t="s">
        <v>4</v>
      </c>
      <c r="D499" s="2">
        <v>173420</v>
      </c>
      <c r="E499">
        <v>165</v>
      </c>
      <c r="F499" t="s">
        <v>13</v>
      </c>
      <c r="G499" s="2">
        <f t="shared" si="21"/>
        <v>164749</v>
      </c>
      <c r="H499" s="1">
        <f t="shared" si="22"/>
        <v>167</v>
      </c>
    </row>
    <row r="500" spans="1:8">
      <c r="A500" s="1">
        <v>499</v>
      </c>
      <c r="B500" t="str">
        <f t="shared" si="23"/>
        <v>Metro Corridor Extension</v>
      </c>
      <c r="C500" t="s">
        <v>5</v>
      </c>
      <c r="D500" s="2">
        <v>616052</v>
      </c>
      <c r="E500">
        <v>182</v>
      </c>
      <c r="F500" t="s">
        <v>14</v>
      </c>
      <c r="G500" s="2">
        <f t="shared" si="21"/>
        <v>585249.4</v>
      </c>
      <c r="H500" s="1">
        <f t="shared" si="22"/>
        <v>212</v>
      </c>
    </row>
    <row r="501" spans="1:8">
      <c r="A501" s="1">
        <v>500</v>
      </c>
      <c r="B501" t="str">
        <f t="shared" si="23"/>
        <v>Smart Grid Substation</v>
      </c>
      <c r="C501" t="s">
        <v>6</v>
      </c>
      <c r="D501" s="2">
        <v>794556</v>
      </c>
      <c r="E501">
        <v>237</v>
      </c>
      <c r="F501" t="s">
        <v>13</v>
      </c>
      <c r="G501" s="2">
        <f t="shared" si="21"/>
        <v>913739.4</v>
      </c>
      <c r="H501" s="1">
        <f t="shared" si="22"/>
        <v>239</v>
      </c>
    </row>
    <row r="502" spans="1:8">
      <c r="A502" s="1">
        <v>501</v>
      </c>
      <c r="B502" t="str">
        <f t="shared" si="23"/>
        <v>Elevated Flyover Construction</v>
      </c>
      <c r="C502" t="s">
        <v>7</v>
      </c>
      <c r="D502" s="2">
        <v>158182</v>
      </c>
      <c r="E502">
        <v>133</v>
      </c>
      <c r="F502" t="s">
        <v>14</v>
      </c>
      <c r="G502" s="2">
        <f t="shared" si="21"/>
        <v>150272.9</v>
      </c>
      <c r="H502" s="1">
        <f t="shared" si="22"/>
        <v>163</v>
      </c>
    </row>
    <row r="503" spans="1:8">
      <c r="A503" s="1">
        <v>502</v>
      </c>
      <c r="B503" t="str">
        <f t="shared" si="23"/>
        <v>Solar Power Plant Setup</v>
      </c>
      <c r="C503" t="s">
        <v>4</v>
      </c>
      <c r="D503" s="2">
        <v>443269</v>
      </c>
      <c r="E503">
        <v>222</v>
      </c>
      <c r="F503" t="s">
        <v>13</v>
      </c>
      <c r="G503" s="2">
        <f t="shared" si="21"/>
        <v>421105.55</v>
      </c>
      <c r="H503" s="1">
        <f t="shared" si="22"/>
        <v>224</v>
      </c>
    </row>
    <row r="504" spans="1:8">
      <c r="A504" s="1">
        <v>503</v>
      </c>
      <c r="B504" t="str">
        <f t="shared" si="23"/>
        <v>Water Treatment Pipeline</v>
      </c>
      <c r="C504" t="s">
        <v>7</v>
      </c>
      <c r="D504" s="2">
        <v>674524</v>
      </c>
      <c r="E504">
        <v>155</v>
      </c>
      <c r="F504" t="s">
        <v>13</v>
      </c>
      <c r="G504" s="2">
        <f t="shared" si="21"/>
        <v>640797.8</v>
      </c>
      <c r="H504" s="1">
        <f t="shared" si="22"/>
        <v>157</v>
      </c>
    </row>
    <row r="505" spans="1:8">
      <c r="A505" s="1">
        <v>504</v>
      </c>
      <c r="B505" t="str">
        <f t="shared" si="23"/>
        <v>National Highway Expansion</v>
      </c>
      <c r="C505" t="s">
        <v>6</v>
      </c>
      <c r="D505" s="2">
        <v>640630</v>
      </c>
      <c r="E505">
        <v>110</v>
      </c>
      <c r="F505" t="s">
        <v>13</v>
      </c>
      <c r="G505" s="2">
        <f t="shared" si="21"/>
        <v>736724.5</v>
      </c>
      <c r="H505" s="1">
        <f t="shared" si="22"/>
        <v>112</v>
      </c>
    </row>
    <row r="506" spans="1:8">
      <c r="A506" s="1">
        <v>505</v>
      </c>
      <c r="B506" t="str">
        <f t="shared" si="23"/>
        <v>Metro Corridor Extension</v>
      </c>
      <c r="C506" t="s">
        <v>4</v>
      </c>
      <c r="D506" s="2">
        <v>730782</v>
      </c>
      <c r="E506">
        <v>232</v>
      </c>
      <c r="F506" t="s">
        <v>14</v>
      </c>
      <c r="G506" s="2">
        <f t="shared" si="21"/>
        <v>694242.9</v>
      </c>
      <c r="H506" s="1">
        <f t="shared" si="22"/>
        <v>262</v>
      </c>
    </row>
    <row r="507" spans="1:8">
      <c r="A507" s="1">
        <v>506</v>
      </c>
      <c r="B507" t="str">
        <f t="shared" si="23"/>
        <v>Smart Grid Substation</v>
      </c>
      <c r="C507" t="s">
        <v>8</v>
      </c>
      <c r="D507" s="2">
        <v>484280</v>
      </c>
      <c r="E507">
        <v>163</v>
      </c>
      <c r="F507" t="s">
        <v>14</v>
      </c>
      <c r="G507" s="2">
        <f t="shared" si="21"/>
        <v>460066</v>
      </c>
      <c r="H507" s="1">
        <f t="shared" si="22"/>
        <v>193</v>
      </c>
    </row>
    <row r="508" spans="1:8">
      <c r="A508" s="1">
        <v>507</v>
      </c>
      <c r="B508" t="str">
        <f t="shared" si="23"/>
        <v>Elevated Flyover Construction</v>
      </c>
      <c r="C508" t="s">
        <v>5</v>
      </c>
      <c r="D508" s="2">
        <v>335230</v>
      </c>
      <c r="E508">
        <v>218</v>
      </c>
      <c r="F508" t="s">
        <v>14</v>
      </c>
      <c r="G508" s="2">
        <f t="shared" si="21"/>
        <v>318468.5</v>
      </c>
      <c r="H508" s="1">
        <f t="shared" si="22"/>
        <v>248</v>
      </c>
    </row>
    <row r="509" spans="1:8">
      <c r="A509" s="1">
        <v>508</v>
      </c>
      <c r="B509" t="str">
        <f t="shared" si="23"/>
        <v>Solar Power Plant Setup</v>
      </c>
      <c r="C509" t="s">
        <v>7</v>
      </c>
      <c r="D509" s="2">
        <v>199077</v>
      </c>
      <c r="E509">
        <v>224</v>
      </c>
      <c r="F509" t="s">
        <v>14</v>
      </c>
      <c r="G509" s="2">
        <f t="shared" si="21"/>
        <v>189123.15</v>
      </c>
      <c r="H509" s="1">
        <f t="shared" si="22"/>
        <v>254</v>
      </c>
    </row>
    <row r="510" spans="1:8">
      <c r="A510" s="1">
        <v>509</v>
      </c>
      <c r="B510" t="str">
        <f t="shared" si="23"/>
        <v>Water Treatment Pipeline</v>
      </c>
      <c r="C510" t="s">
        <v>4</v>
      </c>
      <c r="D510" s="2">
        <v>327508</v>
      </c>
      <c r="E510">
        <v>218</v>
      </c>
      <c r="F510" t="s">
        <v>14</v>
      </c>
      <c r="G510" s="2">
        <f t="shared" si="21"/>
        <v>311132.6</v>
      </c>
      <c r="H510" s="1">
        <f t="shared" si="22"/>
        <v>248</v>
      </c>
    </row>
    <row r="511" spans="1:8">
      <c r="A511" s="1">
        <v>510</v>
      </c>
      <c r="B511" t="str">
        <f t="shared" si="23"/>
        <v>National Highway Expansion</v>
      </c>
      <c r="C511" t="s">
        <v>7</v>
      </c>
      <c r="D511" s="2">
        <v>190081</v>
      </c>
      <c r="E511">
        <v>192</v>
      </c>
      <c r="F511" t="s">
        <v>13</v>
      </c>
      <c r="G511" s="2">
        <f t="shared" si="21"/>
        <v>180576.95</v>
      </c>
      <c r="H511" s="1">
        <f t="shared" si="22"/>
        <v>194</v>
      </c>
    </row>
    <row r="512" spans="1:8">
      <c r="A512" s="1">
        <v>511</v>
      </c>
      <c r="B512" t="str">
        <f t="shared" si="23"/>
        <v>Metro Corridor Extension</v>
      </c>
      <c r="C512" t="s">
        <v>7</v>
      </c>
      <c r="D512" s="2">
        <v>842303</v>
      </c>
      <c r="E512">
        <v>125</v>
      </c>
      <c r="F512" t="s">
        <v>14</v>
      </c>
      <c r="G512" s="2">
        <f t="shared" si="21"/>
        <v>800187.85</v>
      </c>
      <c r="H512" s="1">
        <f t="shared" si="22"/>
        <v>155</v>
      </c>
    </row>
    <row r="513" spans="1:8">
      <c r="A513" s="1">
        <v>512</v>
      </c>
      <c r="B513" t="str">
        <f t="shared" si="23"/>
        <v>Smart Grid Substation</v>
      </c>
      <c r="C513" t="s">
        <v>8</v>
      </c>
      <c r="D513" s="2">
        <v>452339</v>
      </c>
      <c r="E513">
        <v>114</v>
      </c>
      <c r="F513" t="s">
        <v>14</v>
      </c>
      <c r="G513" s="2">
        <f t="shared" si="21"/>
        <v>429722.05</v>
      </c>
      <c r="H513" s="1">
        <f t="shared" si="22"/>
        <v>144</v>
      </c>
    </row>
    <row r="514" spans="1:8">
      <c r="A514" s="1">
        <v>513</v>
      </c>
      <c r="B514" t="str">
        <f t="shared" si="23"/>
        <v>Elevated Flyover Construction</v>
      </c>
      <c r="C514" t="s">
        <v>4</v>
      </c>
      <c r="D514" s="2">
        <v>335932</v>
      </c>
      <c r="E514">
        <v>180</v>
      </c>
      <c r="F514" t="s">
        <v>14</v>
      </c>
      <c r="G514" s="2">
        <f t="shared" ref="G514:G577" si="24">IF(C514="North",D514*1.15,D514*0.95)</f>
        <v>319135.4</v>
      </c>
      <c r="H514" s="1">
        <f t="shared" ref="H514:H577" si="25">IF(F514="Yes",E514+30,E514+2)</f>
        <v>210</v>
      </c>
    </row>
    <row r="515" spans="1:8">
      <c r="A515" s="1">
        <v>514</v>
      </c>
      <c r="B515" t="str">
        <f t="shared" ref="B515:B578" si="26">VLOOKUP(MOD(A515,6),$L$4:$M$9,2,FALSE)</f>
        <v>Solar Power Plant Setup</v>
      </c>
      <c r="C515" t="s">
        <v>4</v>
      </c>
      <c r="D515" s="2">
        <v>552907</v>
      </c>
      <c r="E515">
        <v>160</v>
      </c>
      <c r="F515" t="s">
        <v>14</v>
      </c>
      <c r="G515" s="2">
        <f t="shared" si="24"/>
        <v>525261.65</v>
      </c>
      <c r="H515" s="1">
        <f t="shared" si="25"/>
        <v>190</v>
      </c>
    </row>
    <row r="516" spans="1:8">
      <c r="A516" s="1">
        <v>515</v>
      </c>
      <c r="B516" t="str">
        <f t="shared" si="26"/>
        <v>Water Treatment Pipeline</v>
      </c>
      <c r="C516" t="s">
        <v>7</v>
      </c>
      <c r="D516" s="2">
        <v>593801</v>
      </c>
      <c r="E516">
        <v>178</v>
      </c>
      <c r="F516" t="s">
        <v>13</v>
      </c>
      <c r="G516" s="2">
        <f t="shared" si="24"/>
        <v>564110.95</v>
      </c>
      <c r="H516" s="1">
        <f t="shared" si="25"/>
        <v>180</v>
      </c>
    </row>
    <row r="517" spans="1:8">
      <c r="A517" s="1">
        <v>516</v>
      </c>
      <c r="B517" t="str">
        <f t="shared" si="26"/>
        <v>National Highway Expansion</v>
      </c>
      <c r="C517" t="s">
        <v>7</v>
      </c>
      <c r="D517" s="2">
        <v>171652</v>
      </c>
      <c r="E517">
        <v>155</v>
      </c>
      <c r="F517" t="s">
        <v>14</v>
      </c>
      <c r="G517" s="2">
        <f t="shared" si="24"/>
        <v>163069.4</v>
      </c>
      <c r="H517" s="1">
        <f t="shared" si="25"/>
        <v>185</v>
      </c>
    </row>
    <row r="518" spans="1:8">
      <c r="A518" s="1">
        <v>517</v>
      </c>
      <c r="B518" t="str">
        <f t="shared" si="26"/>
        <v>Metro Corridor Extension</v>
      </c>
      <c r="C518" t="s">
        <v>4</v>
      </c>
      <c r="D518" s="2">
        <v>332607</v>
      </c>
      <c r="E518">
        <v>235</v>
      </c>
      <c r="F518" t="s">
        <v>13</v>
      </c>
      <c r="G518" s="2">
        <f t="shared" si="24"/>
        <v>315976.65</v>
      </c>
      <c r="H518" s="1">
        <f t="shared" si="25"/>
        <v>237</v>
      </c>
    </row>
    <row r="519" spans="1:8">
      <c r="A519" s="1">
        <v>518</v>
      </c>
      <c r="B519" t="str">
        <f t="shared" si="26"/>
        <v>Smart Grid Substation</v>
      </c>
      <c r="C519" t="s">
        <v>4</v>
      </c>
      <c r="D519" s="2">
        <v>345562</v>
      </c>
      <c r="E519">
        <v>135</v>
      </c>
      <c r="F519" t="s">
        <v>14</v>
      </c>
      <c r="G519" s="2">
        <f t="shared" si="24"/>
        <v>328283.9</v>
      </c>
      <c r="H519" s="1">
        <f t="shared" si="25"/>
        <v>165</v>
      </c>
    </row>
    <row r="520" spans="1:8">
      <c r="A520" s="1">
        <v>519</v>
      </c>
      <c r="B520" t="str">
        <f t="shared" si="26"/>
        <v>Elevated Flyover Construction</v>
      </c>
      <c r="C520" t="s">
        <v>8</v>
      </c>
      <c r="D520" s="2">
        <v>270229</v>
      </c>
      <c r="E520">
        <v>194</v>
      </c>
      <c r="F520" t="s">
        <v>13</v>
      </c>
      <c r="G520" s="2">
        <f t="shared" si="24"/>
        <v>256717.55</v>
      </c>
      <c r="H520" s="1">
        <f t="shared" si="25"/>
        <v>196</v>
      </c>
    </row>
    <row r="521" spans="1:8">
      <c r="A521" s="1">
        <v>520</v>
      </c>
      <c r="B521" t="str">
        <f t="shared" si="26"/>
        <v>Solar Power Plant Setup</v>
      </c>
      <c r="C521" t="s">
        <v>4</v>
      </c>
      <c r="D521" s="2">
        <v>352233</v>
      </c>
      <c r="E521">
        <v>167</v>
      </c>
      <c r="F521" t="s">
        <v>14</v>
      </c>
      <c r="G521" s="2">
        <f t="shared" si="24"/>
        <v>334621.35</v>
      </c>
      <c r="H521" s="1">
        <f t="shared" si="25"/>
        <v>197</v>
      </c>
    </row>
    <row r="522" spans="1:8">
      <c r="A522" s="1">
        <v>521</v>
      </c>
      <c r="B522" t="str">
        <f t="shared" si="26"/>
        <v>Water Treatment Pipeline</v>
      </c>
      <c r="C522" t="s">
        <v>8</v>
      </c>
      <c r="D522" s="2">
        <v>588935</v>
      </c>
      <c r="E522">
        <v>145</v>
      </c>
      <c r="F522" t="s">
        <v>14</v>
      </c>
      <c r="G522" s="2">
        <f t="shared" si="24"/>
        <v>559488.25</v>
      </c>
      <c r="H522" s="1">
        <f t="shared" si="25"/>
        <v>175</v>
      </c>
    </row>
    <row r="523" spans="1:8">
      <c r="A523" s="1">
        <v>522</v>
      </c>
      <c r="B523" t="str">
        <f t="shared" si="26"/>
        <v>National Highway Expansion</v>
      </c>
      <c r="C523" t="s">
        <v>6</v>
      </c>
      <c r="D523" s="2">
        <v>356773</v>
      </c>
      <c r="E523">
        <v>179</v>
      </c>
      <c r="F523" t="s">
        <v>13</v>
      </c>
      <c r="G523" s="2">
        <f t="shared" si="24"/>
        <v>410288.95</v>
      </c>
      <c r="H523" s="1">
        <f t="shared" si="25"/>
        <v>181</v>
      </c>
    </row>
    <row r="524" spans="1:8">
      <c r="A524" s="1">
        <v>523</v>
      </c>
      <c r="B524" t="str">
        <f t="shared" si="26"/>
        <v>Metro Corridor Extension</v>
      </c>
      <c r="C524" t="s">
        <v>4</v>
      </c>
      <c r="D524" s="2">
        <v>889022</v>
      </c>
      <c r="E524">
        <v>142</v>
      </c>
      <c r="F524" t="s">
        <v>14</v>
      </c>
      <c r="G524" s="2">
        <f t="shared" si="24"/>
        <v>844570.9</v>
      </c>
      <c r="H524" s="1">
        <f t="shared" si="25"/>
        <v>172</v>
      </c>
    </row>
    <row r="525" spans="1:8">
      <c r="A525" s="1">
        <v>524</v>
      </c>
      <c r="B525" t="str">
        <f t="shared" si="26"/>
        <v>Smart Grid Substation</v>
      </c>
      <c r="C525" t="s">
        <v>6</v>
      </c>
      <c r="D525" s="2">
        <v>593645</v>
      </c>
      <c r="E525">
        <v>235</v>
      </c>
      <c r="F525" t="s">
        <v>13</v>
      </c>
      <c r="G525" s="2">
        <f t="shared" si="24"/>
        <v>682691.75</v>
      </c>
      <c r="H525" s="1">
        <f t="shared" si="25"/>
        <v>237</v>
      </c>
    </row>
    <row r="526" spans="1:8">
      <c r="A526" s="1">
        <v>525</v>
      </c>
      <c r="B526" t="str">
        <f t="shared" si="26"/>
        <v>Elevated Flyover Construction</v>
      </c>
      <c r="C526" t="s">
        <v>8</v>
      </c>
      <c r="D526" s="2">
        <v>274481</v>
      </c>
      <c r="E526">
        <v>185</v>
      </c>
      <c r="F526" t="s">
        <v>13</v>
      </c>
      <c r="G526" s="2">
        <f t="shared" si="24"/>
        <v>260756.95</v>
      </c>
      <c r="H526" s="1">
        <f t="shared" si="25"/>
        <v>187</v>
      </c>
    </row>
    <row r="527" spans="1:8">
      <c r="A527" s="1">
        <v>526</v>
      </c>
      <c r="B527" t="str">
        <f t="shared" si="26"/>
        <v>Solar Power Plant Setup</v>
      </c>
      <c r="C527" t="s">
        <v>4</v>
      </c>
      <c r="D527" s="2">
        <v>536811</v>
      </c>
      <c r="E527">
        <v>134</v>
      </c>
      <c r="F527" t="s">
        <v>13</v>
      </c>
      <c r="G527" s="2">
        <f t="shared" si="24"/>
        <v>509970.45</v>
      </c>
      <c r="H527" s="1">
        <f t="shared" si="25"/>
        <v>136</v>
      </c>
    </row>
    <row r="528" spans="1:8">
      <c r="A528" s="1">
        <v>527</v>
      </c>
      <c r="B528" t="str">
        <f t="shared" si="26"/>
        <v>Water Treatment Pipeline</v>
      </c>
      <c r="C528" t="s">
        <v>4</v>
      </c>
      <c r="D528" s="2">
        <v>735833</v>
      </c>
      <c r="E528">
        <v>188</v>
      </c>
      <c r="F528" t="s">
        <v>14</v>
      </c>
      <c r="G528" s="2">
        <f t="shared" si="24"/>
        <v>699041.35</v>
      </c>
      <c r="H528" s="1">
        <f t="shared" si="25"/>
        <v>218</v>
      </c>
    </row>
    <row r="529" spans="1:8">
      <c r="A529" s="1">
        <v>528</v>
      </c>
      <c r="B529" t="str">
        <f t="shared" si="26"/>
        <v>National Highway Expansion</v>
      </c>
      <c r="C529" t="s">
        <v>6</v>
      </c>
      <c r="D529" s="2">
        <v>330084</v>
      </c>
      <c r="E529">
        <v>176</v>
      </c>
      <c r="F529" t="s">
        <v>13</v>
      </c>
      <c r="G529" s="2">
        <f t="shared" si="24"/>
        <v>379596.6</v>
      </c>
      <c r="H529" s="1">
        <f t="shared" si="25"/>
        <v>178</v>
      </c>
    </row>
    <row r="530" spans="1:8">
      <c r="A530" s="1">
        <v>529</v>
      </c>
      <c r="B530" t="str">
        <f t="shared" si="26"/>
        <v>Metro Corridor Extension</v>
      </c>
      <c r="C530" t="s">
        <v>6</v>
      </c>
      <c r="D530" s="2">
        <v>426893</v>
      </c>
      <c r="E530">
        <v>150</v>
      </c>
      <c r="F530" t="s">
        <v>14</v>
      </c>
      <c r="G530" s="2">
        <f t="shared" si="24"/>
        <v>490926.95</v>
      </c>
      <c r="H530" s="1">
        <f t="shared" si="25"/>
        <v>180</v>
      </c>
    </row>
    <row r="531" spans="1:8">
      <c r="A531" s="1">
        <v>530</v>
      </c>
      <c r="B531" t="str">
        <f t="shared" si="26"/>
        <v>Smart Grid Substation</v>
      </c>
      <c r="C531" t="s">
        <v>8</v>
      </c>
      <c r="D531" s="2">
        <v>856904</v>
      </c>
      <c r="E531">
        <v>165</v>
      </c>
      <c r="F531" t="s">
        <v>14</v>
      </c>
      <c r="G531" s="2">
        <f t="shared" si="24"/>
        <v>814058.8</v>
      </c>
      <c r="H531" s="1">
        <f t="shared" si="25"/>
        <v>195</v>
      </c>
    </row>
    <row r="532" spans="1:8">
      <c r="A532" s="1">
        <v>531</v>
      </c>
      <c r="B532" t="str">
        <f t="shared" si="26"/>
        <v>Elevated Flyover Construction</v>
      </c>
      <c r="C532" t="s">
        <v>7</v>
      </c>
      <c r="D532" s="2">
        <v>332248</v>
      </c>
      <c r="E532">
        <v>172</v>
      </c>
      <c r="F532" t="s">
        <v>14</v>
      </c>
      <c r="G532" s="2">
        <f t="shared" si="24"/>
        <v>315635.6</v>
      </c>
      <c r="H532" s="1">
        <f t="shared" si="25"/>
        <v>202</v>
      </c>
    </row>
    <row r="533" spans="1:8">
      <c r="A533" s="1">
        <v>532</v>
      </c>
      <c r="B533" t="str">
        <f t="shared" si="26"/>
        <v>Solar Power Plant Setup</v>
      </c>
      <c r="C533" t="s">
        <v>6</v>
      </c>
      <c r="D533" s="2">
        <v>610979</v>
      </c>
      <c r="E533">
        <v>106</v>
      </c>
      <c r="F533" t="s">
        <v>14</v>
      </c>
      <c r="G533" s="2">
        <f t="shared" si="24"/>
        <v>702625.85</v>
      </c>
      <c r="H533" s="1">
        <f t="shared" si="25"/>
        <v>136</v>
      </c>
    </row>
    <row r="534" spans="1:8">
      <c r="A534" s="1">
        <v>533</v>
      </c>
      <c r="B534" t="str">
        <f t="shared" si="26"/>
        <v>Water Treatment Pipeline</v>
      </c>
      <c r="C534" t="s">
        <v>4</v>
      </c>
      <c r="D534" s="2">
        <v>665844</v>
      </c>
      <c r="E534">
        <v>125</v>
      </c>
      <c r="F534" t="s">
        <v>14</v>
      </c>
      <c r="G534" s="2">
        <f t="shared" si="24"/>
        <v>632551.8</v>
      </c>
      <c r="H534" s="1">
        <f t="shared" si="25"/>
        <v>155</v>
      </c>
    </row>
    <row r="535" spans="1:8">
      <c r="A535" s="1">
        <v>534</v>
      </c>
      <c r="B535" t="str">
        <f t="shared" si="26"/>
        <v>National Highway Expansion</v>
      </c>
      <c r="C535" t="s">
        <v>4</v>
      </c>
      <c r="D535" s="2">
        <v>368429</v>
      </c>
      <c r="E535">
        <v>141</v>
      </c>
      <c r="F535" t="s">
        <v>13</v>
      </c>
      <c r="G535" s="2">
        <f t="shared" si="24"/>
        <v>350007.55</v>
      </c>
      <c r="H535" s="1">
        <f t="shared" si="25"/>
        <v>143</v>
      </c>
    </row>
    <row r="536" spans="1:8">
      <c r="A536" s="1">
        <v>535</v>
      </c>
      <c r="B536" t="str">
        <f t="shared" si="26"/>
        <v>Metro Corridor Extension</v>
      </c>
      <c r="C536" t="s">
        <v>7</v>
      </c>
      <c r="D536" s="2">
        <v>392755</v>
      </c>
      <c r="E536">
        <v>137</v>
      </c>
      <c r="F536" t="s">
        <v>13</v>
      </c>
      <c r="G536" s="2">
        <f t="shared" si="24"/>
        <v>373117.25</v>
      </c>
      <c r="H536" s="1">
        <f t="shared" si="25"/>
        <v>139</v>
      </c>
    </row>
    <row r="537" spans="1:8">
      <c r="A537" s="1">
        <v>536</v>
      </c>
      <c r="B537" t="str">
        <f t="shared" si="26"/>
        <v>Smart Grid Substation</v>
      </c>
      <c r="C537" t="s">
        <v>4</v>
      </c>
      <c r="D537" s="2">
        <v>441196</v>
      </c>
      <c r="E537">
        <v>153</v>
      </c>
      <c r="F537" t="s">
        <v>14</v>
      </c>
      <c r="G537" s="2">
        <f t="shared" si="24"/>
        <v>419136.2</v>
      </c>
      <c r="H537" s="1">
        <f t="shared" si="25"/>
        <v>183</v>
      </c>
    </row>
    <row r="538" spans="1:8">
      <c r="A538" s="1">
        <v>537</v>
      </c>
      <c r="B538" t="str">
        <f t="shared" si="26"/>
        <v>Elevated Flyover Construction</v>
      </c>
      <c r="C538" t="s">
        <v>6</v>
      </c>
      <c r="D538" s="2">
        <v>727396</v>
      </c>
      <c r="E538">
        <v>114</v>
      </c>
      <c r="F538" t="s">
        <v>14</v>
      </c>
      <c r="G538" s="2">
        <f t="shared" si="24"/>
        <v>836505.4</v>
      </c>
      <c r="H538" s="1">
        <f t="shared" si="25"/>
        <v>144</v>
      </c>
    </row>
    <row r="539" spans="1:8">
      <c r="A539" s="1">
        <v>538</v>
      </c>
      <c r="B539" t="str">
        <f t="shared" si="26"/>
        <v>Solar Power Plant Setup</v>
      </c>
      <c r="C539" t="s">
        <v>8</v>
      </c>
      <c r="D539" s="2">
        <v>755349</v>
      </c>
      <c r="E539">
        <v>203</v>
      </c>
      <c r="F539" t="s">
        <v>14</v>
      </c>
      <c r="G539" s="2">
        <f t="shared" si="24"/>
        <v>717581.55</v>
      </c>
      <c r="H539" s="1">
        <f t="shared" si="25"/>
        <v>233</v>
      </c>
    </row>
    <row r="540" spans="1:8">
      <c r="A540" s="1">
        <v>539</v>
      </c>
      <c r="B540" t="str">
        <f t="shared" si="26"/>
        <v>Water Treatment Pipeline</v>
      </c>
      <c r="C540" t="s">
        <v>7</v>
      </c>
      <c r="D540" s="2">
        <v>415397</v>
      </c>
      <c r="E540">
        <v>142</v>
      </c>
      <c r="F540" t="s">
        <v>13</v>
      </c>
      <c r="G540" s="2">
        <f t="shared" si="24"/>
        <v>394627.15</v>
      </c>
      <c r="H540" s="1">
        <f t="shared" si="25"/>
        <v>144</v>
      </c>
    </row>
    <row r="541" spans="1:8">
      <c r="A541" s="1">
        <v>540</v>
      </c>
      <c r="B541" t="str">
        <f t="shared" si="26"/>
        <v>National Highway Expansion</v>
      </c>
      <c r="C541" t="s">
        <v>8</v>
      </c>
      <c r="D541" s="2">
        <v>540060</v>
      </c>
      <c r="E541">
        <v>176</v>
      </c>
      <c r="F541" t="s">
        <v>13</v>
      </c>
      <c r="G541" s="2">
        <f t="shared" si="24"/>
        <v>513057</v>
      </c>
      <c r="H541" s="1">
        <f t="shared" si="25"/>
        <v>178</v>
      </c>
    </row>
    <row r="542" spans="1:8">
      <c r="A542" s="1">
        <v>541</v>
      </c>
      <c r="B542" t="str">
        <f t="shared" si="26"/>
        <v>Metro Corridor Extension</v>
      </c>
      <c r="C542" t="s">
        <v>8</v>
      </c>
      <c r="D542" s="2">
        <v>787670</v>
      </c>
      <c r="E542">
        <v>206</v>
      </c>
      <c r="F542" t="s">
        <v>14</v>
      </c>
      <c r="G542" s="2">
        <f t="shared" si="24"/>
        <v>748286.5</v>
      </c>
      <c r="H542" s="1">
        <f t="shared" si="25"/>
        <v>236</v>
      </c>
    </row>
    <row r="543" spans="1:8">
      <c r="A543" s="1">
        <v>542</v>
      </c>
      <c r="B543" t="str">
        <f t="shared" si="26"/>
        <v>Smart Grid Substation</v>
      </c>
      <c r="C543" t="s">
        <v>7</v>
      </c>
      <c r="D543" s="2">
        <v>661357</v>
      </c>
      <c r="E543">
        <v>92</v>
      </c>
      <c r="F543" t="s">
        <v>14</v>
      </c>
      <c r="G543" s="2">
        <f t="shared" si="24"/>
        <v>628289.15</v>
      </c>
      <c r="H543" s="1">
        <f t="shared" si="25"/>
        <v>122</v>
      </c>
    </row>
    <row r="544" spans="1:8">
      <c r="A544" s="1">
        <v>543</v>
      </c>
      <c r="B544" t="str">
        <f t="shared" si="26"/>
        <v>Elevated Flyover Construction</v>
      </c>
      <c r="C544" t="s">
        <v>4</v>
      </c>
      <c r="D544" s="2">
        <v>735392</v>
      </c>
      <c r="E544">
        <v>176</v>
      </c>
      <c r="F544" t="s">
        <v>13</v>
      </c>
      <c r="G544" s="2">
        <f t="shared" si="24"/>
        <v>698622.4</v>
      </c>
      <c r="H544" s="1">
        <f t="shared" si="25"/>
        <v>178</v>
      </c>
    </row>
    <row r="545" spans="1:8">
      <c r="A545" s="1">
        <v>544</v>
      </c>
      <c r="B545" t="str">
        <f t="shared" si="26"/>
        <v>Solar Power Plant Setup</v>
      </c>
      <c r="C545" t="s">
        <v>4</v>
      </c>
      <c r="D545" s="2">
        <v>143434</v>
      </c>
      <c r="E545">
        <v>232</v>
      </c>
      <c r="F545" t="s">
        <v>14</v>
      </c>
      <c r="G545" s="2">
        <f t="shared" si="24"/>
        <v>136262.3</v>
      </c>
      <c r="H545" s="1">
        <f t="shared" si="25"/>
        <v>262</v>
      </c>
    </row>
    <row r="546" spans="1:8">
      <c r="A546" s="1">
        <v>545</v>
      </c>
      <c r="B546" t="str">
        <f t="shared" si="26"/>
        <v>Water Treatment Pipeline</v>
      </c>
      <c r="C546" t="s">
        <v>8</v>
      </c>
      <c r="D546" s="2">
        <v>346476</v>
      </c>
      <c r="E546">
        <v>223</v>
      </c>
      <c r="F546" t="s">
        <v>13</v>
      </c>
      <c r="G546" s="2">
        <f t="shared" si="24"/>
        <v>329152.2</v>
      </c>
      <c r="H546" s="1">
        <f t="shared" si="25"/>
        <v>225</v>
      </c>
    </row>
    <row r="547" spans="1:8">
      <c r="A547" s="1">
        <v>546</v>
      </c>
      <c r="B547" t="str">
        <f t="shared" si="26"/>
        <v>National Highway Expansion</v>
      </c>
      <c r="C547" t="s">
        <v>8</v>
      </c>
      <c r="D547" s="2">
        <v>528818</v>
      </c>
      <c r="E547">
        <v>175</v>
      </c>
      <c r="F547" t="s">
        <v>13</v>
      </c>
      <c r="G547" s="2">
        <f t="shared" si="24"/>
        <v>502377.1</v>
      </c>
      <c r="H547" s="1">
        <f t="shared" si="25"/>
        <v>177</v>
      </c>
    </row>
    <row r="548" spans="1:8">
      <c r="A548" s="1">
        <v>547</v>
      </c>
      <c r="B548" t="str">
        <f t="shared" si="26"/>
        <v>Metro Corridor Extension</v>
      </c>
      <c r="C548" t="s">
        <v>6</v>
      </c>
      <c r="D548" s="2">
        <v>878371</v>
      </c>
      <c r="E548">
        <v>232</v>
      </c>
      <c r="F548" t="s">
        <v>13</v>
      </c>
      <c r="G548" s="2">
        <f t="shared" si="24"/>
        <v>1010126.65</v>
      </c>
      <c r="H548" s="1">
        <f t="shared" si="25"/>
        <v>234</v>
      </c>
    </row>
    <row r="549" spans="1:8">
      <c r="A549" s="1">
        <v>548</v>
      </c>
      <c r="B549" t="str">
        <f t="shared" si="26"/>
        <v>Smart Grid Substation</v>
      </c>
      <c r="C549" t="s">
        <v>6</v>
      </c>
      <c r="D549" s="2">
        <v>493867</v>
      </c>
      <c r="E549">
        <v>144</v>
      </c>
      <c r="F549" t="s">
        <v>13</v>
      </c>
      <c r="G549" s="2">
        <f t="shared" si="24"/>
        <v>567947.05</v>
      </c>
      <c r="H549" s="1">
        <f t="shared" si="25"/>
        <v>146</v>
      </c>
    </row>
    <row r="550" spans="1:8">
      <c r="A550" s="1">
        <v>549</v>
      </c>
      <c r="B550" t="str">
        <f t="shared" si="26"/>
        <v>Elevated Flyover Construction</v>
      </c>
      <c r="C550" t="s">
        <v>8</v>
      </c>
      <c r="D550" s="2">
        <v>818869</v>
      </c>
      <c r="E550">
        <v>146</v>
      </c>
      <c r="F550" t="s">
        <v>14</v>
      </c>
      <c r="G550" s="2">
        <f t="shared" si="24"/>
        <v>777925.55</v>
      </c>
      <c r="H550" s="1">
        <f t="shared" si="25"/>
        <v>176</v>
      </c>
    </row>
    <row r="551" spans="1:8">
      <c r="A551" s="1">
        <v>550</v>
      </c>
      <c r="B551" t="str">
        <f t="shared" si="26"/>
        <v>Solar Power Plant Setup</v>
      </c>
      <c r="C551" t="s">
        <v>4</v>
      </c>
      <c r="D551" s="2">
        <v>132987</v>
      </c>
      <c r="E551">
        <v>109</v>
      </c>
      <c r="F551" t="s">
        <v>14</v>
      </c>
      <c r="G551" s="2">
        <f t="shared" si="24"/>
        <v>126337.65</v>
      </c>
      <c r="H551" s="1">
        <f t="shared" si="25"/>
        <v>139</v>
      </c>
    </row>
    <row r="552" spans="1:8">
      <c r="A552" s="1">
        <v>551</v>
      </c>
      <c r="B552" t="str">
        <f t="shared" si="26"/>
        <v>Water Treatment Pipeline</v>
      </c>
      <c r="C552" t="s">
        <v>8</v>
      </c>
      <c r="D552" s="2">
        <v>777376</v>
      </c>
      <c r="E552">
        <v>179</v>
      </c>
      <c r="F552" t="s">
        <v>13</v>
      </c>
      <c r="G552" s="2">
        <f t="shared" si="24"/>
        <v>738507.2</v>
      </c>
      <c r="H552" s="1">
        <f t="shared" si="25"/>
        <v>181</v>
      </c>
    </row>
    <row r="553" spans="1:8">
      <c r="A553" s="1">
        <v>552</v>
      </c>
      <c r="B553" t="str">
        <f t="shared" si="26"/>
        <v>National Highway Expansion</v>
      </c>
      <c r="C553" t="s">
        <v>7</v>
      </c>
      <c r="D553" s="2">
        <v>470359</v>
      </c>
      <c r="E553">
        <v>124</v>
      </c>
      <c r="F553" t="s">
        <v>13</v>
      </c>
      <c r="G553" s="2">
        <f t="shared" si="24"/>
        <v>446841.05</v>
      </c>
      <c r="H553" s="1">
        <f t="shared" si="25"/>
        <v>126</v>
      </c>
    </row>
    <row r="554" spans="1:8">
      <c r="A554" s="1">
        <v>553</v>
      </c>
      <c r="B554" t="str">
        <f t="shared" si="26"/>
        <v>Metro Corridor Extension</v>
      </c>
      <c r="C554" t="s">
        <v>6</v>
      </c>
      <c r="D554" s="2">
        <v>128096</v>
      </c>
      <c r="E554">
        <v>210</v>
      </c>
      <c r="F554" t="s">
        <v>13</v>
      </c>
      <c r="G554" s="2">
        <f t="shared" si="24"/>
        <v>147310.4</v>
      </c>
      <c r="H554" s="1">
        <f t="shared" si="25"/>
        <v>212</v>
      </c>
    </row>
    <row r="555" spans="1:8">
      <c r="A555" s="1">
        <v>554</v>
      </c>
      <c r="B555" t="str">
        <f t="shared" si="26"/>
        <v>Smart Grid Substation</v>
      </c>
      <c r="C555" t="s">
        <v>8</v>
      </c>
      <c r="D555" s="2">
        <v>655936</v>
      </c>
      <c r="E555">
        <v>118</v>
      </c>
      <c r="F555" t="s">
        <v>14</v>
      </c>
      <c r="G555" s="2">
        <f t="shared" si="24"/>
        <v>623139.2</v>
      </c>
      <c r="H555" s="1">
        <f t="shared" si="25"/>
        <v>148</v>
      </c>
    </row>
    <row r="556" spans="1:8">
      <c r="A556" s="1">
        <v>555</v>
      </c>
      <c r="B556" t="str">
        <f t="shared" si="26"/>
        <v>Elevated Flyover Construction</v>
      </c>
      <c r="C556" t="s">
        <v>6</v>
      </c>
      <c r="D556" s="2">
        <v>410381</v>
      </c>
      <c r="E556">
        <v>222</v>
      </c>
      <c r="F556" t="s">
        <v>14</v>
      </c>
      <c r="G556" s="2">
        <f t="shared" si="24"/>
        <v>471938.15</v>
      </c>
      <c r="H556" s="1">
        <f t="shared" si="25"/>
        <v>252</v>
      </c>
    </row>
    <row r="557" spans="1:8">
      <c r="A557" s="1">
        <v>556</v>
      </c>
      <c r="B557" t="str">
        <f t="shared" si="26"/>
        <v>Solar Power Plant Setup</v>
      </c>
      <c r="C557" t="s">
        <v>4</v>
      </c>
      <c r="D557" s="2">
        <v>618923</v>
      </c>
      <c r="E557">
        <v>133</v>
      </c>
      <c r="F557" t="s">
        <v>13</v>
      </c>
      <c r="G557" s="2">
        <f t="shared" si="24"/>
        <v>587976.85</v>
      </c>
      <c r="H557" s="1">
        <f t="shared" si="25"/>
        <v>135</v>
      </c>
    </row>
    <row r="558" spans="1:8">
      <c r="A558" s="1">
        <v>557</v>
      </c>
      <c r="B558" t="str">
        <f t="shared" si="26"/>
        <v>Water Treatment Pipeline</v>
      </c>
      <c r="C558" t="s">
        <v>7</v>
      </c>
      <c r="D558" s="2">
        <v>726699</v>
      </c>
      <c r="E558">
        <v>185</v>
      </c>
      <c r="F558" t="s">
        <v>13</v>
      </c>
      <c r="G558" s="2">
        <f t="shared" si="24"/>
        <v>690364.05</v>
      </c>
      <c r="H558" s="1">
        <f t="shared" si="25"/>
        <v>187</v>
      </c>
    </row>
    <row r="559" spans="1:8">
      <c r="A559" s="1">
        <v>558</v>
      </c>
      <c r="B559" t="str">
        <f t="shared" si="26"/>
        <v>National Highway Expansion</v>
      </c>
      <c r="C559" t="s">
        <v>8</v>
      </c>
      <c r="D559" s="2">
        <v>531258</v>
      </c>
      <c r="E559">
        <v>240</v>
      </c>
      <c r="F559" t="s">
        <v>13</v>
      </c>
      <c r="G559" s="2">
        <f t="shared" si="24"/>
        <v>504695.1</v>
      </c>
      <c r="H559" s="1">
        <f t="shared" si="25"/>
        <v>242</v>
      </c>
    </row>
    <row r="560" spans="1:8">
      <c r="A560" s="1">
        <v>559</v>
      </c>
      <c r="B560" t="str">
        <f t="shared" si="26"/>
        <v>Metro Corridor Extension</v>
      </c>
      <c r="C560" t="s">
        <v>8</v>
      </c>
      <c r="D560" s="2">
        <v>898405</v>
      </c>
      <c r="E560">
        <v>210</v>
      </c>
      <c r="F560" t="s">
        <v>13</v>
      </c>
      <c r="G560" s="2">
        <f t="shared" si="24"/>
        <v>853484.75</v>
      </c>
      <c r="H560" s="1">
        <f t="shared" si="25"/>
        <v>212</v>
      </c>
    </row>
    <row r="561" spans="1:8">
      <c r="A561" s="1">
        <v>560</v>
      </c>
      <c r="B561" t="str">
        <f t="shared" si="26"/>
        <v>Smart Grid Substation</v>
      </c>
      <c r="C561" t="s">
        <v>7</v>
      </c>
      <c r="D561" s="2">
        <v>112293</v>
      </c>
      <c r="E561">
        <v>210</v>
      </c>
      <c r="F561" t="s">
        <v>14</v>
      </c>
      <c r="G561" s="2">
        <f t="shared" si="24"/>
        <v>106678.35</v>
      </c>
      <c r="H561" s="1">
        <f t="shared" si="25"/>
        <v>240</v>
      </c>
    </row>
    <row r="562" spans="1:8">
      <c r="A562" s="1">
        <v>561</v>
      </c>
      <c r="B562" t="str">
        <f t="shared" si="26"/>
        <v>Elevated Flyover Construction</v>
      </c>
      <c r="C562" t="s">
        <v>8</v>
      </c>
      <c r="D562" s="2">
        <v>476364</v>
      </c>
      <c r="E562">
        <v>224</v>
      </c>
      <c r="F562" t="s">
        <v>14</v>
      </c>
      <c r="G562" s="2">
        <f t="shared" si="24"/>
        <v>452545.8</v>
      </c>
      <c r="H562" s="1">
        <f t="shared" si="25"/>
        <v>254</v>
      </c>
    </row>
    <row r="563" spans="1:8">
      <c r="A563" s="1">
        <v>562</v>
      </c>
      <c r="B563" t="str">
        <f t="shared" si="26"/>
        <v>Solar Power Plant Setup</v>
      </c>
      <c r="C563" t="s">
        <v>4</v>
      </c>
      <c r="D563" s="2">
        <v>239561</v>
      </c>
      <c r="E563">
        <v>137</v>
      </c>
      <c r="F563" t="s">
        <v>13</v>
      </c>
      <c r="G563" s="2">
        <f t="shared" si="24"/>
        <v>227582.95</v>
      </c>
      <c r="H563" s="1">
        <f t="shared" si="25"/>
        <v>139</v>
      </c>
    </row>
    <row r="564" spans="1:8">
      <c r="A564" s="1">
        <v>563</v>
      </c>
      <c r="B564" t="str">
        <f t="shared" si="26"/>
        <v>Water Treatment Pipeline</v>
      </c>
      <c r="C564" t="s">
        <v>4</v>
      </c>
      <c r="D564" s="2">
        <v>156478</v>
      </c>
      <c r="E564">
        <v>211</v>
      </c>
      <c r="F564" t="s">
        <v>14</v>
      </c>
      <c r="G564" s="2">
        <f t="shared" si="24"/>
        <v>148654.1</v>
      </c>
      <c r="H564" s="1">
        <f t="shared" si="25"/>
        <v>241</v>
      </c>
    </row>
    <row r="565" spans="1:8">
      <c r="A565" s="1">
        <v>564</v>
      </c>
      <c r="B565" t="str">
        <f t="shared" si="26"/>
        <v>National Highway Expansion</v>
      </c>
      <c r="C565" t="s">
        <v>6</v>
      </c>
      <c r="D565" s="2">
        <v>540891</v>
      </c>
      <c r="E565">
        <v>145</v>
      </c>
      <c r="F565" t="s">
        <v>14</v>
      </c>
      <c r="G565" s="2">
        <f t="shared" si="24"/>
        <v>622024.65</v>
      </c>
      <c r="H565" s="1">
        <f t="shared" si="25"/>
        <v>175</v>
      </c>
    </row>
    <row r="566" spans="1:8">
      <c r="A566" s="1">
        <v>565</v>
      </c>
      <c r="B566" t="str">
        <f t="shared" si="26"/>
        <v>Metro Corridor Extension</v>
      </c>
      <c r="C566" t="s">
        <v>8</v>
      </c>
      <c r="D566" s="2">
        <v>334378</v>
      </c>
      <c r="E566">
        <v>200</v>
      </c>
      <c r="F566" t="s">
        <v>14</v>
      </c>
      <c r="G566" s="2">
        <f t="shared" si="24"/>
        <v>317659.1</v>
      </c>
      <c r="H566" s="1">
        <f t="shared" si="25"/>
        <v>230</v>
      </c>
    </row>
    <row r="567" spans="1:8">
      <c r="A567" s="1">
        <v>566</v>
      </c>
      <c r="B567" t="str">
        <f t="shared" si="26"/>
        <v>Smart Grid Substation</v>
      </c>
      <c r="C567" t="s">
        <v>4</v>
      </c>
      <c r="D567" s="2">
        <v>423365</v>
      </c>
      <c r="E567">
        <v>206</v>
      </c>
      <c r="F567" t="s">
        <v>13</v>
      </c>
      <c r="G567" s="2">
        <f t="shared" si="24"/>
        <v>402196.75</v>
      </c>
      <c r="H567" s="1">
        <f t="shared" si="25"/>
        <v>208</v>
      </c>
    </row>
    <row r="568" spans="1:8">
      <c r="A568" s="1">
        <v>567</v>
      </c>
      <c r="B568" t="str">
        <f t="shared" si="26"/>
        <v>Elevated Flyover Construction</v>
      </c>
      <c r="C568" t="s">
        <v>4</v>
      </c>
      <c r="D568" s="2">
        <v>230010</v>
      </c>
      <c r="E568">
        <v>100</v>
      </c>
      <c r="F568" t="s">
        <v>13</v>
      </c>
      <c r="G568" s="2">
        <f t="shared" si="24"/>
        <v>218509.5</v>
      </c>
      <c r="H568" s="1">
        <f t="shared" si="25"/>
        <v>102</v>
      </c>
    </row>
    <row r="569" spans="1:8">
      <c r="A569" s="1">
        <v>568</v>
      </c>
      <c r="B569" t="str">
        <f t="shared" si="26"/>
        <v>Solar Power Plant Setup</v>
      </c>
      <c r="C569" t="s">
        <v>5</v>
      </c>
      <c r="D569" s="2">
        <v>512447</v>
      </c>
      <c r="E569">
        <v>238</v>
      </c>
      <c r="F569" t="s">
        <v>13</v>
      </c>
      <c r="G569" s="2">
        <f t="shared" si="24"/>
        <v>486824.65</v>
      </c>
      <c r="H569" s="1">
        <f t="shared" si="25"/>
        <v>240</v>
      </c>
    </row>
    <row r="570" spans="1:8">
      <c r="A570" s="1">
        <v>569</v>
      </c>
      <c r="B570" t="str">
        <f t="shared" si="26"/>
        <v>Water Treatment Pipeline</v>
      </c>
      <c r="C570" t="s">
        <v>6</v>
      </c>
      <c r="D570" s="2">
        <v>749990</v>
      </c>
      <c r="E570">
        <v>213</v>
      </c>
      <c r="F570" t="s">
        <v>13</v>
      </c>
      <c r="G570" s="2">
        <f t="shared" si="24"/>
        <v>862488.5</v>
      </c>
      <c r="H570" s="1">
        <f t="shared" si="25"/>
        <v>215</v>
      </c>
    </row>
    <row r="571" spans="1:8">
      <c r="A571" s="1">
        <v>570</v>
      </c>
      <c r="B571" t="str">
        <f t="shared" si="26"/>
        <v>National Highway Expansion</v>
      </c>
      <c r="C571" t="s">
        <v>5</v>
      </c>
      <c r="D571" s="2">
        <v>653705</v>
      </c>
      <c r="E571">
        <v>229</v>
      </c>
      <c r="F571" t="s">
        <v>14</v>
      </c>
      <c r="G571" s="2">
        <f t="shared" si="24"/>
        <v>621019.75</v>
      </c>
      <c r="H571" s="1">
        <f t="shared" si="25"/>
        <v>259</v>
      </c>
    </row>
    <row r="572" spans="1:8">
      <c r="A572" s="1">
        <v>571</v>
      </c>
      <c r="B572" t="str">
        <f t="shared" si="26"/>
        <v>Metro Corridor Extension</v>
      </c>
      <c r="C572" t="s">
        <v>7</v>
      </c>
      <c r="D572" s="2">
        <v>675048</v>
      </c>
      <c r="E572">
        <v>210</v>
      </c>
      <c r="F572" t="s">
        <v>13</v>
      </c>
      <c r="G572" s="2">
        <f t="shared" si="24"/>
        <v>641295.6</v>
      </c>
      <c r="H572" s="1">
        <f t="shared" si="25"/>
        <v>212</v>
      </c>
    </row>
    <row r="573" spans="1:8">
      <c r="A573" s="1">
        <v>572</v>
      </c>
      <c r="B573" t="str">
        <f t="shared" si="26"/>
        <v>Smart Grid Substation</v>
      </c>
      <c r="C573" t="s">
        <v>6</v>
      </c>
      <c r="D573" s="2">
        <v>595454</v>
      </c>
      <c r="E573">
        <v>224</v>
      </c>
      <c r="F573" t="s">
        <v>14</v>
      </c>
      <c r="G573" s="2">
        <f t="shared" si="24"/>
        <v>684772.1</v>
      </c>
      <c r="H573" s="1">
        <f t="shared" si="25"/>
        <v>254</v>
      </c>
    </row>
    <row r="574" spans="1:8">
      <c r="A574" s="1">
        <v>573</v>
      </c>
      <c r="B574" t="str">
        <f t="shared" si="26"/>
        <v>Elevated Flyover Construction</v>
      </c>
      <c r="C574" t="s">
        <v>4</v>
      </c>
      <c r="D574" s="2">
        <v>752010</v>
      </c>
      <c r="E574">
        <v>170</v>
      </c>
      <c r="F574" t="s">
        <v>13</v>
      </c>
      <c r="G574" s="2">
        <f t="shared" si="24"/>
        <v>714409.5</v>
      </c>
      <c r="H574" s="1">
        <f t="shared" si="25"/>
        <v>172</v>
      </c>
    </row>
    <row r="575" spans="1:8">
      <c r="A575" s="1">
        <v>574</v>
      </c>
      <c r="B575" t="str">
        <f t="shared" si="26"/>
        <v>Solar Power Plant Setup</v>
      </c>
      <c r="C575" t="s">
        <v>6</v>
      </c>
      <c r="D575" s="2">
        <v>691334</v>
      </c>
      <c r="E575">
        <v>94</v>
      </c>
      <c r="F575" t="s">
        <v>13</v>
      </c>
      <c r="G575" s="2">
        <f t="shared" si="24"/>
        <v>795034.1</v>
      </c>
      <c r="H575" s="1">
        <f t="shared" si="25"/>
        <v>96</v>
      </c>
    </row>
    <row r="576" spans="1:8">
      <c r="A576" s="1">
        <v>575</v>
      </c>
      <c r="B576" t="str">
        <f t="shared" si="26"/>
        <v>Water Treatment Pipeline</v>
      </c>
      <c r="C576" t="s">
        <v>7</v>
      </c>
      <c r="D576" s="2">
        <v>175288</v>
      </c>
      <c r="E576">
        <v>231</v>
      </c>
      <c r="F576" t="s">
        <v>13</v>
      </c>
      <c r="G576" s="2">
        <f t="shared" si="24"/>
        <v>166523.6</v>
      </c>
      <c r="H576" s="1">
        <f t="shared" si="25"/>
        <v>233</v>
      </c>
    </row>
    <row r="577" spans="1:8">
      <c r="A577" s="1">
        <v>576</v>
      </c>
      <c r="B577" t="str">
        <f t="shared" si="26"/>
        <v>National Highway Expansion</v>
      </c>
      <c r="C577" t="s">
        <v>6</v>
      </c>
      <c r="D577" s="2">
        <v>346169</v>
      </c>
      <c r="E577">
        <v>138</v>
      </c>
      <c r="F577" t="s">
        <v>14</v>
      </c>
      <c r="G577" s="2">
        <f t="shared" si="24"/>
        <v>398094.35</v>
      </c>
      <c r="H577" s="1">
        <f t="shared" si="25"/>
        <v>168</v>
      </c>
    </row>
    <row r="578" spans="1:8">
      <c r="A578" s="1">
        <v>577</v>
      </c>
      <c r="B578" t="str">
        <f t="shared" si="26"/>
        <v>Metro Corridor Extension</v>
      </c>
      <c r="C578" t="s">
        <v>6</v>
      </c>
      <c r="D578" s="2">
        <v>495802</v>
      </c>
      <c r="E578">
        <v>106</v>
      </c>
      <c r="F578" t="s">
        <v>13</v>
      </c>
      <c r="G578" s="2">
        <f t="shared" ref="G578:G641" si="27">IF(C578="North",D578*1.15,D578*0.95)</f>
        <v>570172.3</v>
      </c>
      <c r="H578" s="1">
        <f t="shared" ref="H578:H641" si="28">IF(F578="Yes",E578+30,E578+2)</f>
        <v>108</v>
      </c>
    </row>
    <row r="579" spans="1:8">
      <c r="A579" s="1">
        <v>578</v>
      </c>
      <c r="B579" t="str">
        <f t="shared" ref="B579:B642" si="29">VLOOKUP(MOD(A579,6),$L$4:$M$9,2,FALSE)</f>
        <v>Smart Grid Substation</v>
      </c>
      <c r="C579" t="s">
        <v>6</v>
      </c>
      <c r="D579" s="2">
        <v>891282</v>
      </c>
      <c r="E579">
        <v>123</v>
      </c>
      <c r="F579" t="s">
        <v>13</v>
      </c>
      <c r="G579" s="2">
        <f t="shared" si="27"/>
        <v>1024974.3</v>
      </c>
      <c r="H579" s="1">
        <f t="shared" si="28"/>
        <v>125</v>
      </c>
    </row>
    <row r="580" spans="1:8">
      <c r="A580" s="1">
        <v>579</v>
      </c>
      <c r="B580" t="str">
        <f t="shared" si="29"/>
        <v>Elevated Flyover Construction</v>
      </c>
      <c r="C580" t="s">
        <v>6</v>
      </c>
      <c r="D580" s="2">
        <v>834943</v>
      </c>
      <c r="E580">
        <v>139</v>
      </c>
      <c r="F580" t="s">
        <v>14</v>
      </c>
      <c r="G580" s="2">
        <f t="shared" si="27"/>
        <v>960184.45</v>
      </c>
      <c r="H580" s="1">
        <f t="shared" si="28"/>
        <v>169</v>
      </c>
    </row>
    <row r="581" spans="1:8">
      <c r="A581" s="1">
        <v>580</v>
      </c>
      <c r="B581" t="str">
        <f t="shared" si="29"/>
        <v>Solar Power Plant Setup</v>
      </c>
      <c r="C581" t="s">
        <v>4</v>
      </c>
      <c r="D581" s="2">
        <v>607652</v>
      </c>
      <c r="E581">
        <v>139</v>
      </c>
      <c r="F581" t="s">
        <v>13</v>
      </c>
      <c r="G581" s="2">
        <f t="shared" si="27"/>
        <v>577269.4</v>
      </c>
      <c r="H581" s="1">
        <f t="shared" si="28"/>
        <v>141</v>
      </c>
    </row>
    <row r="582" spans="1:8">
      <c r="A582" s="1">
        <v>581</v>
      </c>
      <c r="B582" t="str">
        <f t="shared" si="29"/>
        <v>Water Treatment Pipeline</v>
      </c>
      <c r="C582" t="s">
        <v>7</v>
      </c>
      <c r="D582" s="2">
        <v>192028</v>
      </c>
      <c r="E582">
        <v>231</v>
      </c>
      <c r="F582" t="s">
        <v>14</v>
      </c>
      <c r="G582" s="2">
        <f t="shared" si="27"/>
        <v>182426.6</v>
      </c>
      <c r="H582" s="1">
        <f t="shared" si="28"/>
        <v>261</v>
      </c>
    </row>
    <row r="583" spans="1:8">
      <c r="A583" s="1">
        <v>582</v>
      </c>
      <c r="B583" t="str">
        <f t="shared" si="29"/>
        <v>National Highway Expansion</v>
      </c>
      <c r="C583" t="s">
        <v>7</v>
      </c>
      <c r="D583" s="2">
        <v>141803</v>
      </c>
      <c r="E583">
        <v>172</v>
      </c>
      <c r="F583" t="s">
        <v>14</v>
      </c>
      <c r="G583" s="2">
        <f t="shared" si="27"/>
        <v>134712.85</v>
      </c>
      <c r="H583" s="1">
        <f t="shared" si="28"/>
        <v>202</v>
      </c>
    </row>
    <row r="584" spans="1:8">
      <c r="A584" s="1">
        <v>583</v>
      </c>
      <c r="B584" t="str">
        <f t="shared" si="29"/>
        <v>Metro Corridor Extension</v>
      </c>
      <c r="C584" t="s">
        <v>4</v>
      </c>
      <c r="D584" s="2">
        <v>155584</v>
      </c>
      <c r="E584">
        <v>198</v>
      </c>
      <c r="F584" t="s">
        <v>13</v>
      </c>
      <c r="G584" s="2">
        <f t="shared" si="27"/>
        <v>147804.8</v>
      </c>
      <c r="H584" s="1">
        <f t="shared" si="28"/>
        <v>200</v>
      </c>
    </row>
    <row r="585" spans="1:8">
      <c r="A585" s="1">
        <v>584</v>
      </c>
      <c r="B585" t="str">
        <f t="shared" si="29"/>
        <v>Smart Grid Substation</v>
      </c>
      <c r="C585" t="s">
        <v>5</v>
      </c>
      <c r="D585" s="2">
        <v>252625</v>
      </c>
      <c r="E585">
        <v>139</v>
      </c>
      <c r="F585" t="s">
        <v>14</v>
      </c>
      <c r="G585" s="2">
        <f t="shared" si="27"/>
        <v>239993.75</v>
      </c>
      <c r="H585" s="1">
        <f t="shared" si="28"/>
        <v>169</v>
      </c>
    </row>
    <row r="586" spans="1:8">
      <c r="A586" s="1">
        <v>585</v>
      </c>
      <c r="B586" t="str">
        <f t="shared" si="29"/>
        <v>Elevated Flyover Construction</v>
      </c>
      <c r="C586" t="s">
        <v>4</v>
      </c>
      <c r="D586" s="2">
        <v>831869</v>
      </c>
      <c r="E586">
        <v>111</v>
      </c>
      <c r="F586" t="s">
        <v>14</v>
      </c>
      <c r="G586" s="2">
        <f t="shared" si="27"/>
        <v>790275.55</v>
      </c>
      <c r="H586" s="1">
        <f t="shared" si="28"/>
        <v>141</v>
      </c>
    </row>
    <row r="587" spans="1:8">
      <c r="A587" s="1">
        <v>586</v>
      </c>
      <c r="B587" t="str">
        <f t="shared" si="29"/>
        <v>Solar Power Plant Setup</v>
      </c>
      <c r="C587" t="s">
        <v>7</v>
      </c>
      <c r="D587" s="2">
        <v>524837</v>
      </c>
      <c r="E587">
        <v>91</v>
      </c>
      <c r="F587" t="s">
        <v>14</v>
      </c>
      <c r="G587" s="2">
        <f t="shared" si="27"/>
        <v>498595.15</v>
      </c>
      <c r="H587" s="1">
        <f t="shared" si="28"/>
        <v>121</v>
      </c>
    </row>
    <row r="588" spans="1:8">
      <c r="A588" s="1">
        <v>587</v>
      </c>
      <c r="B588" t="str">
        <f t="shared" si="29"/>
        <v>Water Treatment Pipeline</v>
      </c>
      <c r="C588" t="s">
        <v>6</v>
      </c>
      <c r="D588" s="2">
        <v>897671</v>
      </c>
      <c r="E588">
        <v>112</v>
      </c>
      <c r="F588" t="s">
        <v>14</v>
      </c>
      <c r="G588" s="2">
        <f t="shared" si="27"/>
        <v>1032321.65</v>
      </c>
      <c r="H588" s="1">
        <f t="shared" si="28"/>
        <v>142</v>
      </c>
    </row>
    <row r="589" spans="1:8">
      <c r="A589" s="1">
        <v>588</v>
      </c>
      <c r="B589" t="str">
        <f t="shared" si="29"/>
        <v>National Highway Expansion</v>
      </c>
      <c r="C589" t="s">
        <v>6</v>
      </c>
      <c r="D589" s="2">
        <v>150174</v>
      </c>
      <c r="E589">
        <v>164</v>
      </c>
      <c r="F589" t="s">
        <v>13</v>
      </c>
      <c r="G589" s="2">
        <f t="shared" si="27"/>
        <v>172700.1</v>
      </c>
      <c r="H589" s="1">
        <f t="shared" si="28"/>
        <v>166</v>
      </c>
    </row>
    <row r="590" spans="1:8">
      <c r="A590" s="1">
        <v>589</v>
      </c>
      <c r="B590" t="str">
        <f t="shared" si="29"/>
        <v>Metro Corridor Extension</v>
      </c>
      <c r="C590" t="s">
        <v>6</v>
      </c>
      <c r="D590" s="2">
        <v>323132</v>
      </c>
      <c r="E590">
        <v>220</v>
      </c>
      <c r="F590" t="s">
        <v>13</v>
      </c>
      <c r="G590" s="2">
        <f t="shared" si="27"/>
        <v>371601.8</v>
      </c>
      <c r="H590" s="1">
        <f t="shared" si="28"/>
        <v>222</v>
      </c>
    </row>
    <row r="591" spans="1:8">
      <c r="A591" s="1">
        <v>590</v>
      </c>
      <c r="B591" t="str">
        <f t="shared" si="29"/>
        <v>Smart Grid Substation</v>
      </c>
      <c r="C591" t="s">
        <v>8</v>
      </c>
      <c r="D591" s="2">
        <v>283146</v>
      </c>
      <c r="E591">
        <v>147</v>
      </c>
      <c r="F591" t="s">
        <v>13</v>
      </c>
      <c r="G591" s="2">
        <f t="shared" si="27"/>
        <v>268988.7</v>
      </c>
      <c r="H591" s="1">
        <f t="shared" si="28"/>
        <v>149</v>
      </c>
    </row>
    <row r="592" spans="1:8">
      <c r="A592" s="1">
        <v>591</v>
      </c>
      <c r="B592" t="str">
        <f t="shared" si="29"/>
        <v>Elevated Flyover Construction</v>
      </c>
      <c r="C592" t="s">
        <v>7</v>
      </c>
      <c r="D592" s="2">
        <v>347660</v>
      </c>
      <c r="E592">
        <v>235</v>
      </c>
      <c r="F592" t="s">
        <v>14</v>
      </c>
      <c r="G592" s="2">
        <f t="shared" si="27"/>
        <v>330277</v>
      </c>
      <c r="H592" s="1">
        <f t="shared" si="28"/>
        <v>265</v>
      </c>
    </row>
    <row r="593" spans="1:8">
      <c r="A593" s="1">
        <v>592</v>
      </c>
      <c r="B593" t="str">
        <f t="shared" si="29"/>
        <v>Solar Power Plant Setup</v>
      </c>
      <c r="C593" t="s">
        <v>8</v>
      </c>
      <c r="D593" s="2">
        <v>784521</v>
      </c>
      <c r="E593">
        <v>221</v>
      </c>
      <c r="F593" t="s">
        <v>13</v>
      </c>
      <c r="G593" s="2">
        <f t="shared" si="27"/>
        <v>745294.95</v>
      </c>
      <c r="H593" s="1">
        <f t="shared" si="28"/>
        <v>223</v>
      </c>
    </row>
    <row r="594" spans="1:8">
      <c r="A594" s="1">
        <v>593</v>
      </c>
      <c r="B594" t="str">
        <f t="shared" si="29"/>
        <v>Water Treatment Pipeline</v>
      </c>
      <c r="C594" t="s">
        <v>8</v>
      </c>
      <c r="D594" s="2">
        <v>591440</v>
      </c>
      <c r="E594">
        <v>169</v>
      </c>
      <c r="F594" t="s">
        <v>13</v>
      </c>
      <c r="G594" s="2">
        <f t="shared" si="27"/>
        <v>561868</v>
      </c>
      <c r="H594" s="1">
        <f t="shared" si="28"/>
        <v>171</v>
      </c>
    </row>
    <row r="595" spans="1:8">
      <c r="A595" s="1">
        <v>594</v>
      </c>
      <c r="B595" t="str">
        <f t="shared" si="29"/>
        <v>National Highway Expansion</v>
      </c>
      <c r="C595" t="s">
        <v>4</v>
      </c>
      <c r="D595" s="2">
        <v>290037</v>
      </c>
      <c r="E595">
        <v>171</v>
      </c>
      <c r="F595" t="s">
        <v>14</v>
      </c>
      <c r="G595" s="2">
        <f t="shared" si="27"/>
        <v>275535.15</v>
      </c>
      <c r="H595" s="1">
        <f t="shared" si="28"/>
        <v>201</v>
      </c>
    </row>
    <row r="596" spans="1:8">
      <c r="A596" s="1">
        <v>595</v>
      </c>
      <c r="B596" t="str">
        <f t="shared" si="29"/>
        <v>Metro Corridor Extension</v>
      </c>
      <c r="C596" t="s">
        <v>8</v>
      </c>
      <c r="D596" s="2">
        <v>850056</v>
      </c>
      <c r="E596">
        <v>148</v>
      </c>
      <c r="F596" t="s">
        <v>13</v>
      </c>
      <c r="G596" s="2">
        <f t="shared" si="27"/>
        <v>807553.2</v>
      </c>
      <c r="H596" s="1">
        <f t="shared" si="28"/>
        <v>150</v>
      </c>
    </row>
    <row r="597" spans="1:8">
      <c r="A597" s="1">
        <v>596</v>
      </c>
      <c r="B597" t="str">
        <f t="shared" si="29"/>
        <v>Smart Grid Substation</v>
      </c>
      <c r="C597" t="s">
        <v>7</v>
      </c>
      <c r="D597" s="2">
        <v>366088</v>
      </c>
      <c r="E597">
        <v>181</v>
      </c>
      <c r="F597" t="s">
        <v>14</v>
      </c>
      <c r="G597" s="2">
        <f t="shared" si="27"/>
        <v>347783.6</v>
      </c>
      <c r="H597" s="1">
        <f t="shared" si="28"/>
        <v>211</v>
      </c>
    </row>
    <row r="598" spans="1:8">
      <c r="A598" s="1">
        <v>597</v>
      </c>
      <c r="B598" t="str">
        <f t="shared" si="29"/>
        <v>Elevated Flyover Construction</v>
      </c>
      <c r="C598" t="s">
        <v>4</v>
      </c>
      <c r="D598" s="2">
        <v>246889</v>
      </c>
      <c r="E598">
        <v>150</v>
      </c>
      <c r="F598" t="s">
        <v>14</v>
      </c>
      <c r="G598" s="2">
        <f t="shared" si="27"/>
        <v>234544.55</v>
      </c>
      <c r="H598" s="1">
        <f t="shared" si="28"/>
        <v>180</v>
      </c>
    </row>
    <row r="599" spans="1:8">
      <c r="A599" s="1">
        <v>598</v>
      </c>
      <c r="B599" t="str">
        <f t="shared" si="29"/>
        <v>Solar Power Plant Setup</v>
      </c>
      <c r="C599" t="s">
        <v>4</v>
      </c>
      <c r="D599" s="2">
        <v>231553</v>
      </c>
      <c r="E599">
        <v>123</v>
      </c>
      <c r="F599" t="s">
        <v>14</v>
      </c>
      <c r="G599" s="2">
        <f t="shared" si="27"/>
        <v>219975.35</v>
      </c>
      <c r="H599" s="1">
        <f t="shared" si="28"/>
        <v>153</v>
      </c>
    </row>
    <row r="600" spans="1:8">
      <c r="A600" s="1">
        <v>599</v>
      </c>
      <c r="B600" t="str">
        <f t="shared" si="29"/>
        <v>Water Treatment Pipeline</v>
      </c>
      <c r="C600" t="s">
        <v>4</v>
      </c>
      <c r="D600" s="2">
        <v>226456</v>
      </c>
      <c r="E600">
        <v>163</v>
      </c>
      <c r="F600" t="s">
        <v>13</v>
      </c>
      <c r="G600" s="2">
        <f t="shared" si="27"/>
        <v>215133.2</v>
      </c>
      <c r="H600" s="1">
        <f t="shared" si="28"/>
        <v>165</v>
      </c>
    </row>
    <row r="601" spans="1:8">
      <c r="A601" s="1">
        <v>600</v>
      </c>
      <c r="B601" t="str">
        <f t="shared" si="29"/>
        <v>National Highway Expansion</v>
      </c>
      <c r="C601" t="s">
        <v>8</v>
      </c>
      <c r="D601" s="2">
        <v>334374</v>
      </c>
      <c r="E601">
        <v>163</v>
      </c>
      <c r="F601" t="s">
        <v>14</v>
      </c>
      <c r="G601" s="2">
        <f t="shared" si="27"/>
        <v>317655.3</v>
      </c>
      <c r="H601" s="1">
        <f t="shared" si="28"/>
        <v>193</v>
      </c>
    </row>
    <row r="602" spans="1:8">
      <c r="A602" s="1">
        <v>601</v>
      </c>
      <c r="B602" t="str">
        <f t="shared" si="29"/>
        <v>Metro Corridor Extension</v>
      </c>
      <c r="C602" t="s">
        <v>6</v>
      </c>
      <c r="D602" s="2">
        <v>829481</v>
      </c>
      <c r="E602">
        <v>232</v>
      </c>
      <c r="F602" t="s">
        <v>14</v>
      </c>
      <c r="G602" s="2">
        <f t="shared" si="27"/>
        <v>953903.15</v>
      </c>
      <c r="H602" s="1">
        <f t="shared" si="28"/>
        <v>262</v>
      </c>
    </row>
    <row r="603" spans="1:8">
      <c r="A603" s="1">
        <v>602</v>
      </c>
      <c r="B603" t="str">
        <f t="shared" si="29"/>
        <v>Smart Grid Substation</v>
      </c>
      <c r="C603" t="s">
        <v>8</v>
      </c>
      <c r="D603" s="2">
        <v>593000</v>
      </c>
      <c r="E603">
        <v>169</v>
      </c>
      <c r="F603" t="s">
        <v>13</v>
      </c>
      <c r="G603" s="2">
        <f t="shared" si="27"/>
        <v>563350</v>
      </c>
      <c r="H603" s="1">
        <f t="shared" si="28"/>
        <v>171</v>
      </c>
    </row>
    <row r="604" spans="1:8">
      <c r="A604" s="1">
        <v>603</v>
      </c>
      <c r="B604" t="str">
        <f t="shared" si="29"/>
        <v>Elevated Flyover Construction</v>
      </c>
      <c r="C604" t="s">
        <v>7</v>
      </c>
      <c r="D604" s="2">
        <v>756443</v>
      </c>
      <c r="E604">
        <v>111</v>
      </c>
      <c r="F604" t="s">
        <v>14</v>
      </c>
      <c r="G604" s="2">
        <f t="shared" si="27"/>
        <v>718620.85</v>
      </c>
      <c r="H604" s="1">
        <f t="shared" si="28"/>
        <v>141</v>
      </c>
    </row>
    <row r="605" spans="1:8">
      <c r="A605" s="1">
        <v>604</v>
      </c>
      <c r="B605" t="str">
        <f t="shared" si="29"/>
        <v>Solar Power Plant Setup</v>
      </c>
      <c r="C605" t="s">
        <v>7</v>
      </c>
      <c r="D605" s="2">
        <v>770557</v>
      </c>
      <c r="E605">
        <v>161</v>
      </c>
      <c r="F605" t="s">
        <v>14</v>
      </c>
      <c r="G605" s="2">
        <f t="shared" si="27"/>
        <v>732029.15</v>
      </c>
      <c r="H605" s="1">
        <f t="shared" si="28"/>
        <v>191</v>
      </c>
    </row>
    <row r="606" spans="1:8">
      <c r="A606" s="1">
        <v>605</v>
      </c>
      <c r="B606" t="str">
        <f t="shared" si="29"/>
        <v>Water Treatment Pipeline</v>
      </c>
      <c r="C606" t="s">
        <v>5</v>
      </c>
      <c r="D606" s="2">
        <v>285586</v>
      </c>
      <c r="E606">
        <v>100</v>
      </c>
      <c r="F606" t="s">
        <v>14</v>
      </c>
      <c r="G606" s="2">
        <f t="shared" si="27"/>
        <v>271306.7</v>
      </c>
      <c r="H606" s="1">
        <f t="shared" si="28"/>
        <v>130</v>
      </c>
    </row>
    <row r="607" spans="1:8">
      <c r="A607" s="1">
        <v>606</v>
      </c>
      <c r="B607" t="str">
        <f t="shared" si="29"/>
        <v>National Highway Expansion</v>
      </c>
      <c r="C607" t="s">
        <v>5</v>
      </c>
      <c r="D607" s="2">
        <v>674929</v>
      </c>
      <c r="E607">
        <v>216</v>
      </c>
      <c r="F607" t="s">
        <v>14</v>
      </c>
      <c r="G607" s="2">
        <f t="shared" si="27"/>
        <v>641182.55</v>
      </c>
      <c r="H607" s="1">
        <f t="shared" si="28"/>
        <v>246</v>
      </c>
    </row>
    <row r="608" spans="1:8">
      <c r="A608" s="1">
        <v>607</v>
      </c>
      <c r="B608" t="str">
        <f t="shared" si="29"/>
        <v>Metro Corridor Extension</v>
      </c>
      <c r="C608" t="s">
        <v>4</v>
      </c>
      <c r="D608" s="2">
        <v>517247</v>
      </c>
      <c r="E608">
        <v>200</v>
      </c>
      <c r="F608" t="s">
        <v>13</v>
      </c>
      <c r="G608" s="2">
        <f t="shared" si="27"/>
        <v>491384.65</v>
      </c>
      <c r="H608" s="1">
        <f t="shared" si="28"/>
        <v>202</v>
      </c>
    </row>
    <row r="609" spans="1:8">
      <c r="A609" s="1">
        <v>608</v>
      </c>
      <c r="B609" t="str">
        <f t="shared" si="29"/>
        <v>Smart Grid Substation</v>
      </c>
      <c r="C609" t="s">
        <v>4</v>
      </c>
      <c r="D609" s="2">
        <v>720294</v>
      </c>
      <c r="E609">
        <v>225</v>
      </c>
      <c r="F609" t="s">
        <v>13</v>
      </c>
      <c r="G609" s="2">
        <f t="shared" si="27"/>
        <v>684279.3</v>
      </c>
      <c r="H609" s="1">
        <f t="shared" si="28"/>
        <v>227</v>
      </c>
    </row>
    <row r="610" spans="1:8">
      <c r="A610" s="1">
        <v>609</v>
      </c>
      <c r="B610" t="str">
        <f t="shared" si="29"/>
        <v>Elevated Flyover Construction</v>
      </c>
      <c r="C610" t="s">
        <v>4</v>
      </c>
      <c r="D610" s="2">
        <v>859048</v>
      </c>
      <c r="E610">
        <v>104</v>
      </c>
      <c r="F610" t="s">
        <v>14</v>
      </c>
      <c r="G610" s="2">
        <f t="shared" si="27"/>
        <v>816095.6</v>
      </c>
      <c r="H610" s="1">
        <f t="shared" si="28"/>
        <v>134</v>
      </c>
    </row>
    <row r="611" spans="1:8">
      <c r="A611" s="1">
        <v>610</v>
      </c>
      <c r="B611" t="str">
        <f t="shared" si="29"/>
        <v>Solar Power Plant Setup</v>
      </c>
      <c r="C611" t="s">
        <v>7</v>
      </c>
      <c r="D611" s="2">
        <v>764750</v>
      </c>
      <c r="E611">
        <v>178</v>
      </c>
      <c r="F611" t="s">
        <v>14</v>
      </c>
      <c r="G611" s="2">
        <f t="shared" si="27"/>
        <v>726512.5</v>
      </c>
      <c r="H611" s="1">
        <f t="shared" si="28"/>
        <v>208</v>
      </c>
    </row>
    <row r="612" spans="1:8">
      <c r="A612" s="1">
        <v>611</v>
      </c>
      <c r="B612" t="str">
        <f t="shared" si="29"/>
        <v>Water Treatment Pipeline</v>
      </c>
      <c r="C612" t="s">
        <v>6</v>
      </c>
      <c r="D612" s="2">
        <v>197923</v>
      </c>
      <c r="E612">
        <v>204</v>
      </c>
      <c r="F612" t="s">
        <v>13</v>
      </c>
      <c r="G612" s="2">
        <f t="shared" si="27"/>
        <v>227611.45</v>
      </c>
      <c r="H612" s="1">
        <f t="shared" si="28"/>
        <v>206</v>
      </c>
    </row>
    <row r="613" spans="1:8">
      <c r="A613" s="1">
        <v>612</v>
      </c>
      <c r="B613" t="str">
        <f t="shared" si="29"/>
        <v>National Highway Expansion</v>
      </c>
      <c r="C613" t="s">
        <v>7</v>
      </c>
      <c r="D613" s="2">
        <v>468516</v>
      </c>
      <c r="E613">
        <v>196</v>
      </c>
      <c r="F613" t="s">
        <v>13</v>
      </c>
      <c r="G613" s="2">
        <f t="shared" si="27"/>
        <v>445090.2</v>
      </c>
      <c r="H613" s="1">
        <f t="shared" si="28"/>
        <v>198</v>
      </c>
    </row>
    <row r="614" spans="1:8">
      <c r="A614" s="1">
        <v>613</v>
      </c>
      <c r="B614" t="str">
        <f t="shared" si="29"/>
        <v>Metro Corridor Extension</v>
      </c>
      <c r="C614" t="s">
        <v>5</v>
      </c>
      <c r="D614" s="2">
        <v>690293</v>
      </c>
      <c r="E614">
        <v>232</v>
      </c>
      <c r="F614" t="s">
        <v>13</v>
      </c>
      <c r="G614" s="2">
        <f t="shared" si="27"/>
        <v>655778.35</v>
      </c>
      <c r="H614" s="1">
        <f t="shared" si="28"/>
        <v>234</v>
      </c>
    </row>
    <row r="615" spans="1:8">
      <c r="A615" s="1">
        <v>614</v>
      </c>
      <c r="B615" t="str">
        <f t="shared" si="29"/>
        <v>Smart Grid Substation</v>
      </c>
      <c r="C615" t="s">
        <v>8</v>
      </c>
      <c r="D615" s="2">
        <v>200569</v>
      </c>
      <c r="E615">
        <v>170</v>
      </c>
      <c r="F615" t="s">
        <v>14</v>
      </c>
      <c r="G615" s="2">
        <f t="shared" si="27"/>
        <v>190540.55</v>
      </c>
      <c r="H615" s="1">
        <f t="shared" si="28"/>
        <v>200</v>
      </c>
    </row>
    <row r="616" spans="1:8">
      <c r="A616" s="1">
        <v>615</v>
      </c>
      <c r="B616" t="str">
        <f t="shared" si="29"/>
        <v>Elevated Flyover Construction</v>
      </c>
      <c r="C616" t="s">
        <v>6</v>
      </c>
      <c r="D616" s="2">
        <v>745287</v>
      </c>
      <c r="E616">
        <v>116</v>
      </c>
      <c r="F616" t="s">
        <v>13</v>
      </c>
      <c r="G616" s="2">
        <f t="shared" si="27"/>
        <v>857080.05</v>
      </c>
      <c r="H616" s="1">
        <f t="shared" si="28"/>
        <v>118</v>
      </c>
    </row>
    <row r="617" spans="1:8">
      <c r="A617" s="1">
        <v>616</v>
      </c>
      <c r="B617" t="str">
        <f t="shared" si="29"/>
        <v>Solar Power Plant Setup</v>
      </c>
      <c r="C617" t="s">
        <v>7</v>
      </c>
      <c r="D617" s="2">
        <v>712705</v>
      </c>
      <c r="E617">
        <v>223</v>
      </c>
      <c r="F617" t="s">
        <v>13</v>
      </c>
      <c r="G617" s="2">
        <f t="shared" si="27"/>
        <v>677069.75</v>
      </c>
      <c r="H617" s="1">
        <f t="shared" si="28"/>
        <v>225</v>
      </c>
    </row>
    <row r="618" spans="1:8">
      <c r="A618" s="1">
        <v>617</v>
      </c>
      <c r="B618" t="str">
        <f t="shared" si="29"/>
        <v>Water Treatment Pipeline</v>
      </c>
      <c r="C618" t="s">
        <v>8</v>
      </c>
      <c r="D618" s="2">
        <v>125190</v>
      </c>
      <c r="E618">
        <v>112</v>
      </c>
      <c r="F618" t="s">
        <v>14</v>
      </c>
      <c r="G618" s="2">
        <f t="shared" si="27"/>
        <v>118930.5</v>
      </c>
      <c r="H618" s="1">
        <f t="shared" si="28"/>
        <v>142</v>
      </c>
    </row>
    <row r="619" spans="1:8">
      <c r="A619" s="1">
        <v>618</v>
      </c>
      <c r="B619" t="str">
        <f t="shared" si="29"/>
        <v>National Highway Expansion</v>
      </c>
      <c r="C619" t="s">
        <v>4</v>
      </c>
      <c r="D619" s="2">
        <v>436776</v>
      </c>
      <c r="E619">
        <v>213</v>
      </c>
      <c r="F619" t="s">
        <v>13</v>
      </c>
      <c r="G619" s="2">
        <f t="shared" si="27"/>
        <v>414937.2</v>
      </c>
      <c r="H619" s="1">
        <f t="shared" si="28"/>
        <v>215</v>
      </c>
    </row>
    <row r="620" spans="1:8">
      <c r="A620" s="1">
        <v>619</v>
      </c>
      <c r="B620" t="str">
        <f t="shared" si="29"/>
        <v>Metro Corridor Extension</v>
      </c>
      <c r="C620" t="s">
        <v>4</v>
      </c>
      <c r="D620" s="2">
        <v>402095</v>
      </c>
      <c r="E620">
        <v>213</v>
      </c>
      <c r="F620" t="s">
        <v>13</v>
      </c>
      <c r="G620" s="2">
        <f t="shared" si="27"/>
        <v>381990.25</v>
      </c>
      <c r="H620" s="1">
        <f t="shared" si="28"/>
        <v>215</v>
      </c>
    </row>
    <row r="621" spans="1:8">
      <c r="A621" s="1">
        <v>620</v>
      </c>
      <c r="B621" t="str">
        <f t="shared" si="29"/>
        <v>Smart Grid Substation</v>
      </c>
      <c r="C621" t="s">
        <v>5</v>
      </c>
      <c r="D621" s="2">
        <v>448253</v>
      </c>
      <c r="E621">
        <v>232</v>
      </c>
      <c r="F621" t="s">
        <v>13</v>
      </c>
      <c r="G621" s="2">
        <f t="shared" si="27"/>
        <v>425840.35</v>
      </c>
      <c r="H621" s="1">
        <f t="shared" si="28"/>
        <v>234</v>
      </c>
    </row>
    <row r="622" spans="1:8">
      <c r="A622" s="1">
        <v>621</v>
      </c>
      <c r="B622" t="str">
        <f t="shared" si="29"/>
        <v>Elevated Flyover Construction</v>
      </c>
      <c r="C622" t="s">
        <v>4</v>
      </c>
      <c r="D622" s="2">
        <v>856296</v>
      </c>
      <c r="E622">
        <v>101</v>
      </c>
      <c r="F622" t="s">
        <v>13</v>
      </c>
      <c r="G622" s="2">
        <f t="shared" si="27"/>
        <v>813481.2</v>
      </c>
      <c r="H622" s="1">
        <f t="shared" si="28"/>
        <v>103</v>
      </c>
    </row>
    <row r="623" spans="1:8">
      <c r="A623" s="1">
        <v>622</v>
      </c>
      <c r="B623" t="str">
        <f t="shared" si="29"/>
        <v>Solar Power Plant Setup</v>
      </c>
      <c r="C623" t="s">
        <v>6</v>
      </c>
      <c r="D623" s="2">
        <v>890928</v>
      </c>
      <c r="E623">
        <v>193</v>
      </c>
      <c r="F623" t="s">
        <v>14</v>
      </c>
      <c r="G623" s="2">
        <f t="shared" si="27"/>
        <v>1024567.2</v>
      </c>
      <c r="H623" s="1">
        <f t="shared" si="28"/>
        <v>223</v>
      </c>
    </row>
    <row r="624" spans="1:8">
      <c r="A624" s="1">
        <v>623</v>
      </c>
      <c r="B624" t="str">
        <f t="shared" si="29"/>
        <v>Water Treatment Pipeline</v>
      </c>
      <c r="C624" t="s">
        <v>8</v>
      </c>
      <c r="D624" s="2">
        <v>891484</v>
      </c>
      <c r="E624">
        <v>107</v>
      </c>
      <c r="F624" t="s">
        <v>14</v>
      </c>
      <c r="G624" s="2">
        <f t="shared" si="27"/>
        <v>846909.8</v>
      </c>
      <c r="H624" s="1">
        <f t="shared" si="28"/>
        <v>137</v>
      </c>
    </row>
    <row r="625" spans="1:8">
      <c r="A625" s="1">
        <v>624</v>
      </c>
      <c r="B625" t="str">
        <f t="shared" si="29"/>
        <v>National Highway Expansion</v>
      </c>
      <c r="C625" t="s">
        <v>7</v>
      </c>
      <c r="D625" s="2">
        <v>890094</v>
      </c>
      <c r="E625">
        <v>202</v>
      </c>
      <c r="F625" t="s">
        <v>13</v>
      </c>
      <c r="G625" s="2">
        <f t="shared" si="27"/>
        <v>845589.3</v>
      </c>
      <c r="H625" s="1">
        <f t="shared" si="28"/>
        <v>204</v>
      </c>
    </row>
    <row r="626" spans="1:8">
      <c r="A626" s="1">
        <v>625</v>
      </c>
      <c r="B626" t="str">
        <f t="shared" si="29"/>
        <v>Metro Corridor Extension</v>
      </c>
      <c r="C626" t="s">
        <v>7</v>
      </c>
      <c r="D626" s="2">
        <v>492194</v>
      </c>
      <c r="E626">
        <v>123</v>
      </c>
      <c r="F626" t="s">
        <v>14</v>
      </c>
      <c r="G626" s="2">
        <f t="shared" si="27"/>
        <v>467584.3</v>
      </c>
      <c r="H626" s="1">
        <f t="shared" si="28"/>
        <v>153</v>
      </c>
    </row>
    <row r="627" spans="1:8">
      <c r="A627" s="1">
        <v>626</v>
      </c>
      <c r="B627" t="str">
        <f t="shared" si="29"/>
        <v>Smart Grid Substation</v>
      </c>
      <c r="C627" t="s">
        <v>4</v>
      </c>
      <c r="D627" s="2">
        <v>542246</v>
      </c>
      <c r="E627">
        <v>128</v>
      </c>
      <c r="F627" t="s">
        <v>14</v>
      </c>
      <c r="G627" s="2">
        <f t="shared" si="27"/>
        <v>515133.7</v>
      </c>
      <c r="H627" s="1">
        <f t="shared" si="28"/>
        <v>158</v>
      </c>
    </row>
    <row r="628" spans="1:8">
      <c r="A628" s="1">
        <v>627</v>
      </c>
      <c r="B628" t="str">
        <f t="shared" si="29"/>
        <v>Elevated Flyover Construction</v>
      </c>
      <c r="C628" t="s">
        <v>6</v>
      </c>
      <c r="D628" s="2">
        <v>327549</v>
      </c>
      <c r="E628">
        <v>95</v>
      </c>
      <c r="F628" t="s">
        <v>14</v>
      </c>
      <c r="G628" s="2">
        <f t="shared" si="27"/>
        <v>376681.35</v>
      </c>
      <c r="H628" s="1">
        <f t="shared" si="28"/>
        <v>125</v>
      </c>
    </row>
    <row r="629" spans="1:8">
      <c r="A629" s="1">
        <v>628</v>
      </c>
      <c r="B629" t="str">
        <f t="shared" si="29"/>
        <v>Solar Power Plant Setup</v>
      </c>
      <c r="C629" t="s">
        <v>6</v>
      </c>
      <c r="D629" s="2">
        <v>261869</v>
      </c>
      <c r="E629">
        <v>123</v>
      </c>
      <c r="F629" t="s">
        <v>14</v>
      </c>
      <c r="G629" s="2">
        <f t="shared" si="27"/>
        <v>301149.35</v>
      </c>
      <c r="H629" s="1">
        <f t="shared" si="28"/>
        <v>153</v>
      </c>
    </row>
    <row r="630" spans="1:8">
      <c r="A630" s="1">
        <v>629</v>
      </c>
      <c r="B630" t="str">
        <f t="shared" si="29"/>
        <v>Water Treatment Pipeline</v>
      </c>
      <c r="C630" t="s">
        <v>7</v>
      </c>
      <c r="D630" s="2">
        <v>544407</v>
      </c>
      <c r="E630">
        <v>139</v>
      </c>
      <c r="F630" t="s">
        <v>14</v>
      </c>
      <c r="G630" s="2">
        <f t="shared" si="27"/>
        <v>517186.65</v>
      </c>
      <c r="H630" s="1">
        <f t="shared" si="28"/>
        <v>169</v>
      </c>
    </row>
    <row r="631" spans="1:8">
      <c r="A631" s="1">
        <v>630</v>
      </c>
      <c r="B631" t="str">
        <f t="shared" si="29"/>
        <v>National Highway Expansion</v>
      </c>
      <c r="C631" t="s">
        <v>5</v>
      </c>
      <c r="D631" s="2">
        <v>267912</v>
      </c>
      <c r="E631">
        <v>156</v>
      </c>
      <c r="F631" t="s">
        <v>13</v>
      </c>
      <c r="G631" s="2">
        <f t="shared" si="27"/>
        <v>254516.4</v>
      </c>
      <c r="H631" s="1">
        <f t="shared" si="28"/>
        <v>158</v>
      </c>
    </row>
    <row r="632" spans="1:8">
      <c r="A632" s="1">
        <v>631</v>
      </c>
      <c r="B632" t="str">
        <f t="shared" si="29"/>
        <v>Metro Corridor Extension</v>
      </c>
      <c r="C632" t="s">
        <v>5</v>
      </c>
      <c r="D632" s="2">
        <v>533970</v>
      </c>
      <c r="E632">
        <v>151</v>
      </c>
      <c r="F632" t="s">
        <v>14</v>
      </c>
      <c r="G632" s="2">
        <f t="shared" si="27"/>
        <v>507271.5</v>
      </c>
      <c r="H632" s="1">
        <f t="shared" si="28"/>
        <v>181</v>
      </c>
    </row>
    <row r="633" spans="1:8">
      <c r="A633" s="1">
        <v>632</v>
      </c>
      <c r="B633" t="str">
        <f t="shared" si="29"/>
        <v>Smart Grid Substation</v>
      </c>
      <c r="C633" t="s">
        <v>7</v>
      </c>
      <c r="D633" s="2">
        <v>718468</v>
      </c>
      <c r="E633">
        <v>200</v>
      </c>
      <c r="F633" t="s">
        <v>13</v>
      </c>
      <c r="G633" s="2">
        <f t="shared" si="27"/>
        <v>682544.6</v>
      </c>
      <c r="H633" s="1">
        <f t="shared" si="28"/>
        <v>202</v>
      </c>
    </row>
    <row r="634" spans="1:8">
      <c r="A634" s="1">
        <v>633</v>
      </c>
      <c r="B634" t="str">
        <f t="shared" si="29"/>
        <v>Elevated Flyover Construction</v>
      </c>
      <c r="C634" t="s">
        <v>4</v>
      </c>
      <c r="D634" s="2">
        <v>514112</v>
      </c>
      <c r="E634">
        <v>102</v>
      </c>
      <c r="F634" t="s">
        <v>14</v>
      </c>
      <c r="G634" s="2">
        <f t="shared" si="27"/>
        <v>488406.4</v>
      </c>
      <c r="H634" s="1">
        <f t="shared" si="28"/>
        <v>132</v>
      </c>
    </row>
    <row r="635" spans="1:8">
      <c r="A635" s="1">
        <v>634</v>
      </c>
      <c r="B635" t="str">
        <f t="shared" si="29"/>
        <v>Solar Power Plant Setup</v>
      </c>
      <c r="C635" t="s">
        <v>6</v>
      </c>
      <c r="D635" s="2">
        <v>892422</v>
      </c>
      <c r="E635">
        <v>112</v>
      </c>
      <c r="F635" t="s">
        <v>14</v>
      </c>
      <c r="G635" s="2">
        <f t="shared" si="27"/>
        <v>1026285.3</v>
      </c>
      <c r="H635" s="1">
        <f t="shared" si="28"/>
        <v>142</v>
      </c>
    </row>
    <row r="636" spans="1:8">
      <c r="A636" s="1">
        <v>635</v>
      </c>
      <c r="B636" t="str">
        <f t="shared" si="29"/>
        <v>Water Treatment Pipeline</v>
      </c>
      <c r="C636" t="s">
        <v>7</v>
      </c>
      <c r="D636" s="2">
        <v>119256</v>
      </c>
      <c r="E636">
        <v>219</v>
      </c>
      <c r="F636" t="s">
        <v>14</v>
      </c>
      <c r="G636" s="2">
        <f t="shared" si="27"/>
        <v>113293.2</v>
      </c>
      <c r="H636" s="1">
        <f t="shared" si="28"/>
        <v>249</v>
      </c>
    </row>
    <row r="637" spans="1:8">
      <c r="A637" s="1">
        <v>636</v>
      </c>
      <c r="B637" t="str">
        <f t="shared" si="29"/>
        <v>National Highway Expansion</v>
      </c>
      <c r="C637" t="s">
        <v>8</v>
      </c>
      <c r="D637" s="2">
        <v>475930</v>
      </c>
      <c r="E637">
        <v>194</v>
      </c>
      <c r="F637" t="s">
        <v>14</v>
      </c>
      <c r="G637" s="2">
        <f t="shared" si="27"/>
        <v>452133.5</v>
      </c>
      <c r="H637" s="1">
        <f t="shared" si="28"/>
        <v>224</v>
      </c>
    </row>
    <row r="638" spans="1:8">
      <c r="A638" s="1">
        <v>637</v>
      </c>
      <c r="B638" t="str">
        <f t="shared" si="29"/>
        <v>Metro Corridor Extension</v>
      </c>
      <c r="C638" t="s">
        <v>5</v>
      </c>
      <c r="D638" s="2">
        <v>727211</v>
      </c>
      <c r="E638">
        <v>109</v>
      </c>
      <c r="F638" t="s">
        <v>14</v>
      </c>
      <c r="G638" s="2">
        <f t="shared" si="27"/>
        <v>690850.45</v>
      </c>
      <c r="H638" s="1">
        <f t="shared" si="28"/>
        <v>139</v>
      </c>
    </row>
    <row r="639" spans="1:8">
      <c r="A639" s="1">
        <v>638</v>
      </c>
      <c r="B639" t="str">
        <f t="shared" si="29"/>
        <v>Smart Grid Substation</v>
      </c>
      <c r="C639" t="s">
        <v>6</v>
      </c>
      <c r="D639" s="2">
        <v>181383</v>
      </c>
      <c r="E639">
        <v>158</v>
      </c>
      <c r="F639" t="s">
        <v>13</v>
      </c>
      <c r="G639" s="2">
        <f t="shared" si="27"/>
        <v>208590.45</v>
      </c>
      <c r="H639" s="1">
        <f t="shared" si="28"/>
        <v>160</v>
      </c>
    </row>
    <row r="640" spans="1:8">
      <c r="A640" s="1">
        <v>639</v>
      </c>
      <c r="B640" t="str">
        <f t="shared" si="29"/>
        <v>Elevated Flyover Construction</v>
      </c>
      <c r="C640" t="s">
        <v>6</v>
      </c>
      <c r="D640" s="2">
        <v>276825</v>
      </c>
      <c r="E640">
        <v>121</v>
      </c>
      <c r="F640" t="s">
        <v>14</v>
      </c>
      <c r="G640" s="2">
        <f t="shared" si="27"/>
        <v>318348.75</v>
      </c>
      <c r="H640" s="1">
        <f t="shared" si="28"/>
        <v>151</v>
      </c>
    </row>
    <row r="641" spans="1:8">
      <c r="A641" s="1">
        <v>640</v>
      </c>
      <c r="B641" t="str">
        <f t="shared" si="29"/>
        <v>Solar Power Plant Setup</v>
      </c>
      <c r="C641" t="s">
        <v>6</v>
      </c>
      <c r="D641" s="2">
        <v>298012</v>
      </c>
      <c r="E641">
        <v>218</v>
      </c>
      <c r="F641" t="s">
        <v>13</v>
      </c>
      <c r="G641" s="2">
        <f t="shared" si="27"/>
        <v>342713.8</v>
      </c>
      <c r="H641" s="1">
        <f t="shared" si="28"/>
        <v>220</v>
      </c>
    </row>
    <row r="642" spans="1:8">
      <c r="A642" s="1">
        <v>641</v>
      </c>
      <c r="B642" t="str">
        <f t="shared" si="29"/>
        <v>Water Treatment Pipeline</v>
      </c>
      <c r="C642" t="s">
        <v>5</v>
      </c>
      <c r="D642" s="2">
        <v>708291</v>
      </c>
      <c r="E642">
        <v>157</v>
      </c>
      <c r="F642" t="s">
        <v>14</v>
      </c>
      <c r="G642" s="2">
        <f t="shared" ref="G642:G705" si="30">IF(C642="North",D642*1.15,D642*0.95)</f>
        <v>672876.45</v>
      </c>
      <c r="H642" s="1">
        <f t="shared" ref="H642:H705" si="31">IF(F642="Yes",E642+30,E642+2)</f>
        <v>187</v>
      </c>
    </row>
    <row r="643" spans="1:8">
      <c r="A643" s="1">
        <v>642</v>
      </c>
      <c r="B643" t="str">
        <f t="shared" ref="B643:B706" si="32">VLOOKUP(MOD(A643,6),$L$4:$M$9,2,FALSE)</f>
        <v>National Highway Expansion</v>
      </c>
      <c r="C643" t="s">
        <v>8</v>
      </c>
      <c r="D643" s="2">
        <v>899313</v>
      </c>
      <c r="E643">
        <v>182</v>
      </c>
      <c r="F643" t="s">
        <v>13</v>
      </c>
      <c r="G643" s="2">
        <f t="shared" si="30"/>
        <v>854347.35</v>
      </c>
      <c r="H643" s="1">
        <f t="shared" si="31"/>
        <v>184</v>
      </c>
    </row>
    <row r="644" spans="1:8">
      <c r="A644" s="1">
        <v>643</v>
      </c>
      <c r="B644" t="str">
        <f t="shared" si="32"/>
        <v>Metro Corridor Extension</v>
      </c>
      <c r="C644" t="s">
        <v>4</v>
      </c>
      <c r="D644" s="2">
        <v>276274</v>
      </c>
      <c r="E644">
        <v>126</v>
      </c>
      <c r="F644" t="s">
        <v>13</v>
      </c>
      <c r="G644" s="2">
        <f t="shared" si="30"/>
        <v>262460.3</v>
      </c>
      <c r="H644" s="1">
        <f t="shared" si="31"/>
        <v>128</v>
      </c>
    </row>
    <row r="645" spans="1:8">
      <c r="A645" s="1">
        <v>644</v>
      </c>
      <c r="B645" t="str">
        <f t="shared" si="32"/>
        <v>Smart Grid Substation</v>
      </c>
      <c r="C645" t="s">
        <v>7</v>
      </c>
      <c r="D645" s="2">
        <v>207454</v>
      </c>
      <c r="E645">
        <v>102</v>
      </c>
      <c r="F645" t="s">
        <v>13</v>
      </c>
      <c r="G645" s="2">
        <f t="shared" si="30"/>
        <v>197081.3</v>
      </c>
      <c r="H645" s="1">
        <f t="shared" si="31"/>
        <v>104</v>
      </c>
    </row>
    <row r="646" spans="1:8">
      <c r="A646" s="1">
        <v>645</v>
      </c>
      <c r="B646" t="str">
        <f t="shared" si="32"/>
        <v>Elevated Flyover Construction</v>
      </c>
      <c r="C646" t="s">
        <v>6</v>
      </c>
      <c r="D646" s="2">
        <v>574969</v>
      </c>
      <c r="E646">
        <v>141</v>
      </c>
      <c r="F646" t="s">
        <v>13</v>
      </c>
      <c r="G646" s="2">
        <f t="shared" si="30"/>
        <v>661214.35</v>
      </c>
      <c r="H646" s="1">
        <f t="shared" si="31"/>
        <v>143</v>
      </c>
    </row>
    <row r="647" spans="1:8">
      <c r="A647" s="1">
        <v>646</v>
      </c>
      <c r="B647" t="str">
        <f t="shared" si="32"/>
        <v>Solar Power Plant Setup</v>
      </c>
      <c r="C647" t="s">
        <v>5</v>
      </c>
      <c r="D647" s="2">
        <v>106172</v>
      </c>
      <c r="E647">
        <v>197</v>
      </c>
      <c r="F647" t="s">
        <v>14</v>
      </c>
      <c r="G647" s="2">
        <f t="shared" si="30"/>
        <v>100863.4</v>
      </c>
      <c r="H647" s="1">
        <f t="shared" si="31"/>
        <v>227</v>
      </c>
    </row>
    <row r="648" spans="1:8">
      <c r="A648" s="1">
        <v>647</v>
      </c>
      <c r="B648" t="str">
        <f t="shared" si="32"/>
        <v>Water Treatment Pipeline</v>
      </c>
      <c r="C648" t="s">
        <v>4</v>
      </c>
      <c r="D648" s="2">
        <v>201885</v>
      </c>
      <c r="E648">
        <v>228</v>
      </c>
      <c r="F648" t="s">
        <v>13</v>
      </c>
      <c r="G648" s="2">
        <f t="shared" si="30"/>
        <v>191790.75</v>
      </c>
      <c r="H648" s="1">
        <f t="shared" si="31"/>
        <v>230</v>
      </c>
    </row>
    <row r="649" spans="1:8">
      <c r="A649" s="1">
        <v>648</v>
      </c>
      <c r="B649" t="str">
        <f t="shared" si="32"/>
        <v>National Highway Expansion</v>
      </c>
      <c r="C649" t="s">
        <v>8</v>
      </c>
      <c r="D649" s="2">
        <v>540528</v>
      </c>
      <c r="E649">
        <v>232</v>
      </c>
      <c r="F649" t="s">
        <v>14</v>
      </c>
      <c r="G649" s="2">
        <f t="shared" si="30"/>
        <v>513501.6</v>
      </c>
      <c r="H649" s="1">
        <f t="shared" si="31"/>
        <v>262</v>
      </c>
    </row>
    <row r="650" spans="1:8">
      <c r="A650" s="1">
        <v>649</v>
      </c>
      <c r="B650" t="str">
        <f t="shared" si="32"/>
        <v>Metro Corridor Extension</v>
      </c>
      <c r="C650" t="s">
        <v>5</v>
      </c>
      <c r="D650" s="2">
        <v>399580</v>
      </c>
      <c r="E650">
        <v>164</v>
      </c>
      <c r="F650" t="s">
        <v>14</v>
      </c>
      <c r="G650" s="2">
        <f t="shared" si="30"/>
        <v>379601</v>
      </c>
      <c r="H650" s="1">
        <f t="shared" si="31"/>
        <v>194</v>
      </c>
    </row>
    <row r="651" spans="1:8">
      <c r="A651" s="1">
        <v>650</v>
      </c>
      <c r="B651" t="str">
        <f t="shared" si="32"/>
        <v>Smart Grid Substation</v>
      </c>
      <c r="C651" t="s">
        <v>8</v>
      </c>
      <c r="D651" s="2">
        <v>682534</v>
      </c>
      <c r="E651">
        <v>127</v>
      </c>
      <c r="F651" t="s">
        <v>14</v>
      </c>
      <c r="G651" s="2">
        <f t="shared" si="30"/>
        <v>648407.3</v>
      </c>
      <c r="H651" s="1">
        <f t="shared" si="31"/>
        <v>157</v>
      </c>
    </row>
    <row r="652" spans="1:8">
      <c r="A652" s="1">
        <v>651</v>
      </c>
      <c r="B652" t="str">
        <f t="shared" si="32"/>
        <v>Elevated Flyover Construction</v>
      </c>
      <c r="C652" t="s">
        <v>7</v>
      </c>
      <c r="D652" s="2">
        <v>455931</v>
      </c>
      <c r="E652">
        <v>107</v>
      </c>
      <c r="F652" t="s">
        <v>13</v>
      </c>
      <c r="G652" s="2">
        <f t="shared" si="30"/>
        <v>433134.45</v>
      </c>
      <c r="H652" s="1">
        <f t="shared" si="31"/>
        <v>109</v>
      </c>
    </row>
    <row r="653" spans="1:8">
      <c r="A653" s="1">
        <v>652</v>
      </c>
      <c r="B653" t="str">
        <f t="shared" si="32"/>
        <v>Solar Power Plant Setup</v>
      </c>
      <c r="C653" t="s">
        <v>6</v>
      </c>
      <c r="D653" s="2">
        <v>609270</v>
      </c>
      <c r="E653">
        <v>224</v>
      </c>
      <c r="F653" t="s">
        <v>13</v>
      </c>
      <c r="G653" s="2">
        <f t="shared" si="30"/>
        <v>700660.5</v>
      </c>
      <c r="H653" s="1">
        <f t="shared" si="31"/>
        <v>226</v>
      </c>
    </row>
    <row r="654" spans="1:8">
      <c r="A654" s="1">
        <v>653</v>
      </c>
      <c r="B654" t="str">
        <f t="shared" si="32"/>
        <v>Water Treatment Pipeline</v>
      </c>
      <c r="C654" t="s">
        <v>7</v>
      </c>
      <c r="D654" s="2">
        <v>574265</v>
      </c>
      <c r="E654">
        <v>123</v>
      </c>
      <c r="F654" t="s">
        <v>13</v>
      </c>
      <c r="G654" s="2">
        <f t="shared" si="30"/>
        <v>545551.75</v>
      </c>
      <c r="H654" s="1">
        <f t="shared" si="31"/>
        <v>125</v>
      </c>
    </row>
    <row r="655" spans="1:8">
      <c r="A655" s="1">
        <v>654</v>
      </c>
      <c r="B655" t="str">
        <f t="shared" si="32"/>
        <v>National Highway Expansion</v>
      </c>
      <c r="C655" t="s">
        <v>5</v>
      </c>
      <c r="D655" s="2">
        <v>231369</v>
      </c>
      <c r="E655">
        <v>184</v>
      </c>
      <c r="F655" t="s">
        <v>13</v>
      </c>
      <c r="G655" s="2">
        <f t="shared" si="30"/>
        <v>219800.55</v>
      </c>
      <c r="H655" s="1">
        <f t="shared" si="31"/>
        <v>186</v>
      </c>
    </row>
    <row r="656" spans="1:8">
      <c r="A656" s="1">
        <v>655</v>
      </c>
      <c r="B656" t="str">
        <f t="shared" si="32"/>
        <v>Metro Corridor Extension</v>
      </c>
      <c r="C656" t="s">
        <v>4</v>
      </c>
      <c r="D656" s="2">
        <v>497588</v>
      </c>
      <c r="E656">
        <v>129</v>
      </c>
      <c r="F656" t="s">
        <v>14</v>
      </c>
      <c r="G656" s="2">
        <f t="shared" si="30"/>
        <v>472708.6</v>
      </c>
      <c r="H656" s="1">
        <f t="shared" si="31"/>
        <v>159</v>
      </c>
    </row>
    <row r="657" spans="1:8">
      <c r="A657" s="1">
        <v>656</v>
      </c>
      <c r="B657" t="str">
        <f t="shared" si="32"/>
        <v>Smart Grid Substation</v>
      </c>
      <c r="C657" t="s">
        <v>4</v>
      </c>
      <c r="D657" s="2">
        <v>384387</v>
      </c>
      <c r="E657">
        <v>236</v>
      </c>
      <c r="F657" t="s">
        <v>14</v>
      </c>
      <c r="G657" s="2">
        <f t="shared" si="30"/>
        <v>365167.65</v>
      </c>
      <c r="H657" s="1">
        <f t="shared" si="31"/>
        <v>266</v>
      </c>
    </row>
    <row r="658" spans="1:8">
      <c r="A658" s="1">
        <v>657</v>
      </c>
      <c r="B658" t="str">
        <f t="shared" si="32"/>
        <v>Elevated Flyover Construction</v>
      </c>
      <c r="C658" t="s">
        <v>8</v>
      </c>
      <c r="D658" s="2">
        <v>486449</v>
      </c>
      <c r="E658">
        <v>90</v>
      </c>
      <c r="F658" t="s">
        <v>13</v>
      </c>
      <c r="G658" s="2">
        <f t="shared" si="30"/>
        <v>462126.55</v>
      </c>
      <c r="H658" s="1">
        <f t="shared" si="31"/>
        <v>92</v>
      </c>
    </row>
    <row r="659" spans="1:8">
      <c r="A659" s="1">
        <v>658</v>
      </c>
      <c r="B659" t="str">
        <f t="shared" si="32"/>
        <v>Solar Power Plant Setup</v>
      </c>
      <c r="C659" t="s">
        <v>6</v>
      </c>
      <c r="D659" s="2">
        <v>699417</v>
      </c>
      <c r="E659">
        <v>183</v>
      </c>
      <c r="F659" t="s">
        <v>13</v>
      </c>
      <c r="G659" s="2">
        <f t="shared" si="30"/>
        <v>804329.55</v>
      </c>
      <c r="H659" s="1">
        <f t="shared" si="31"/>
        <v>185</v>
      </c>
    </row>
    <row r="660" spans="1:8">
      <c r="A660" s="1">
        <v>659</v>
      </c>
      <c r="B660" t="str">
        <f t="shared" si="32"/>
        <v>Water Treatment Pipeline</v>
      </c>
      <c r="C660" t="s">
        <v>7</v>
      </c>
      <c r="D660" s="2">
        <v>737064</v>
      </c>
      <c r="E660">
        <v>204</v>
      </c>
      <c r="F660" t="s">
        <v>14</v>
      </c>
      <c r="G660" s="2">
        <f t="shared" si="30"/>
        <v>700210.8</v>
      </c>
      <c r="H660" s="1">
        <f t="shared" si="31"/>
        <v>234</v>
      </c>
    </row>
    <row r="661" spans="1:8">
      <c r="A661" s="1">
        <v>660</v>
      </c>
      <c r="B661" t="str">
        <f t="shared" si="32"/>
        <v>National Highway Expansion</v>
      </c>
      <c r="C661" t="s">
        <v>8</v>
      </c>
      <c r="D661" s="2">
        <v>330888</v>
      </c>
      <c r="E661">
        <v>149</v>
      </c>
      <c r="F661" t="s">
        <v>14</v>
      </c>
      <c r="G661" s="2">
        <f t="shared" si="30"/>
        <v>314343.6</v>
      </c>
      <c r="H661" s="1">
        <f t="shared" si="31"/>
        <v>179</v>
      </c>
    </row>
    <row r="662" spans="1:8">
      <c r="A662" s="1">
        <v>661</v>
      </c>
      <c r="B662" t="str">
        <f t="shared" si="32"/>
        <v>Metro Corridor Extension</v>
      </c>
      <c r="C662" t="s">
        <v>6</v>
      </c>
      <c r="D662" s="2">
        <v>434812</v>
      </c>
      <c r="E662">
        <v>176</v>
      </c>
      <c r="F662" t="s">
        <v>13</v>
      </c>
      <c r="G662" s="2">
        <f t="shared" si="30"/>
        <v>500033.8</v>
      </c>
      <c r="H662" s="1">
        <f t="shared" si="31"/>
        <v>178</v>
      </c>
    </row>
    <row r="663" spans="1:8">
      <c r="A663" s="1">
        <v>662</v>
      </c>
      <c r="B663" t="str">
        <f t="shared" si="32"/>
        <v>Smart Grid Substation</v>
      </c>
      <c r="C663" t="s">
        <v>7</v>
      </c>
      <c r="D663" s="2">
        <v>341747</v>
      </c>
      <c r="E663">
        <v>124</v>
      </c>
      <c r="F663" t="s">
        <v>13</v>
      </c>
      <c r="G663" s="2">
        <f t="shared" si="30"/>
        <v>324659.65</v>
      </c>
      <c r="H663" s="1">
        <f t="shared" si="31"/>
        <v>126</v>
      </c>
    </row>
    <row r="664" spans="1:8">
      <c r="A664" s="1">
        <v>663</v>
      </c>
      <c r="B664" t="str">
        <f t="shared" si="32"/>
        <v>Elevated Flyover Construction</v>
      </c>
      <c r="C664" t="s">
        <v>5</v>
      </c>
      <c r="D664" s="2">
        <v>216714</v>
      </c>
      <c r="E664">
        <v>194</v>
      </c>
      <c r="F664" t="s">
        <v>13</v>
      </c>
      <c r="G664" s="2">
        <f t="shared" si="30"/>
        <v>205878.3</v>
      </c>
      <c r="H664" s="1">
        <f t="shared" si="31"/>
        <v>196</v>
      </c>
    </row>
    <row r="665" spans="1:8">
      <c r="A665" s="1">
        <v>664</v>
      </c>
      <c r="B665" t="str">
        <f t="shared" si="32"/>
        <v>Solar Power Plant Setup</v>
      </c>
      <c r="C665" t="s">
        <v>7</v>
      </c>
      <c r="D665" s="2">
        <v>330321</v>
      </c>
      <c r="E665">
        <v>203</v>
      </c>
      <c r="F665" t="s">
        <v>14</v>
      </c>
      <c r="G665" s="2">
        <f t="shared" si="30"/>
        <v>313804.95</v>
      </c>
      <c r="H665" s="1">
        <f t="shared" si="31"/>
        <v>233</v>
      </c>
    </row>
    <row r="666" spans="1:8">
      <c r="A666" s="1">
        <v>665</v>
      </c>
      <c r="B666" t="str">
        <f t="shared" si="32"/>
        <v>Water Treatment Pipeline</v>
      </c>
      <c r="C666" t="s">
        <v>7</v>
      </c>
      <c r="D666" s="2">
        <v>231234</v>
      </c>
      <c r="E666">
        <v>194</v>
      </c>
      <c r="F666" t="s">
        <v>13</v>
      </c>
      <c r="G666" s="2">
        <f t="shared" si="30"/>
        <v>219672.3</v>
      </c>
      <c r="H666" s="1">
        <f t="shared" si="31"/>
        <v>196</v>
      </c>
    </row>
    <row r="667" spans="1:8">
      <c r="A667" s="1">
        <v>666</v>
      </c>
      <c r="B667" t="str">
        <f t="shared" si="32"/>
        <v>National Highway Expansion</v>
      </c>
      <c r="C667" t="s">
        <v>8</v>
      </c>
      <c r="D667" s="2">
        <v>542073</v>
      </c>
      <c r="E667">
        <v>234</v>
      </c>
      <c r="F667" t="s">
        <v>13</v>
      </c>
      <c r="G667" s="2">
        <f t="shared" si="30"/>
        <v>514969.35</v>
      </c>
      <c r="H667" s="1">
        <f t="shared" si="31"/>
        <v>236</v>
      </c>
    </row>
    <row r="668" spans="1:8">
      <c r="A668" s="1">
        <v>667</v>
      </c>
      <c r="B668" t="str">
        <f t="shared" si="32"/>
        <v>Metro Corridor Extension</v>
      </c>
      <c r="C668" t="s">
        <v>7</v>
      </c>
      <c r="D668" s="2">
        <v>344869</v>
      </c>
      <c r="E668">
        <v>217</v>
      </c>
      <c r="F668" t="s">
        <v>13</v>
      </c>
      <c r="G668" s="2">
        <f t="shared" si="30"/>
        <v>327625.55</v>
      </c>
      <c r="H668" s="1">
        <f t="shared" si="31"/>
        <v>219</v>
      </c>
    </row>
    <row r="669" spans="1:8">
      <c r="A669" s="1">
        <v>668</v>
      </c>
      <c r="B669" t="str">
        <f t="shared" si="32"/>
        <v>Smart Grid Substation</v>
      </c>
      <c r="C669" t="s">
        <v>6</v>
      </c>
      <c r="D669" s="2">
        <v>268205</v>
      </c>
      <c r="E669">
        <v>168</v>
      </c>
      <c r="F669" t="s">
        <v>14</v>
      </c>
      <c r="G669" s="2">
        <f t="shared" si="30"/>
        <v>308435.75</v>
      </c>
      <c r="H669" s="1">
        <f t="shared" si="31"/>
        <v>198</v>
      </c>
    </row>
    <row r="670" spans="1:8">
      <c r="A670" s="1">
        <v>669</v>
      </c>
      <c r="B670" t="str">
        <f t="shared" si="32"/>
        <v>Elevated Flyover Construction</v>
      </c>
      <c r="C670" t="s">
        <v>4</v>
      </c>
      <c r="D670" s="2">
        <v>831293</v>
      </c>
      <c r="E670">
        <v>92</v>
      </c>
      <c r="F670" t="s">
        <v>14</v>
      </c>
      <c r="G670" s="2">
        <f t="shared" si="30"/>
        <v>789728.35</v>
      </c>
      <c r="H670" s="1">
        <f t="shared" si="31"/>
        <v>122</v>
      </c>
    </row>
    <row r="671" spans="1:8">
      <c r="A671" s="1">
        <v>670</v>
      </c>
      <c r="B671" t="str">
        <f t="shared" si="32"/>
        <v>Solar Power Plant Setup</v>
      </c>
      <c r="C671" t="s">
        <v>8</v>
      </c>
      <c r="D671" s="2">
        <v>198850</v>
      </c>
      <c r="E671">
        <v>172</v>
      </c>
      <c r="F671" t="s">
        <v>13</v>
      </c>
      <c r="G671" s="2">
        <f t="shared" si="30"/>
        <v>188907.5</v>
      </c>
      <c r="H671" s="1">
        <f t="shared" si="31"/>
        <v>174</v>
      </c>
    </row>
    <row r="672" spans="1:8">
      <c r="A672" s="1">
        <v>671</v>
      </c>
      <c r="B672" t="str">
        <f t="shared" si="32"/>
        <v>Water Treatment Pipeline</v>
      </c>
      <c r="C672" t="s">
        <v>6</v>
      </c>
      <c r="D672" s="2">
        <v>863396</v>
      </c>
      <c r="E672">
        <v>100</v>
      </c>
      <c r="F672" t="s">
        <v>14</v>
      </c>
      <c r="G672" s="2">
        <f t="shared" si="30"/>
        <v>992905.4</v>
      </c>
      <c r="H672" s="1">
        <f t="shared" si="31"/>
        <v>130</v>
      </c>
    </row>
    <row r="673" spans="1:8">
      <c r="A673" s="1">
        <v>672</v>
      </c>
      <c r="B673" t="str">
        <f t="shared" si="32"/>
        <v>National Highway Expansion</v>
      </c>
      <c r="C673" t="s">
        <v>8</v>
      </c>
      <c r="D673" s="2">
        <v>380607</v>
      </c>
      <c r="E673">
        <v>138</v>
      </c>
      <c r="F673" t="s">
        <v>14</v>
      </c>
      <c r="G673" s="2">
        <f t="shared" si="30"/>
        <v>361576.65</v>
      </c>
      <c r="H673" s="1">
        <f t="shared" si="31"/>
        <v>168</v>
      </c>
    </row>
    <row r="674" spans="1:8">
      <c r="A674" s="1">
        <v>673</v>
      </c>
      <c r="B674" t="str">
        <f t="shared" si="32"/>
        <v>Metro Corridor Extension</v>
      </c>
      <c r="C674" t="s">
        <v>7</v>
      </c>
      <c r="D674" s="2">
        <v>865165</v>
      </c>
      <c r="E674">
        <v>217</v>
      </c>
      <c r="F674" t="s">
        <v>13</v>
      </c>
      <c r="G674" s="2">
        <f t="shared" si="30"/>
        <v>821906.75</v>
      </c>
      <c r="H674" s="1">
        <f t="shared" si="31"/>
        <v>219</v>
      </c>
    </row>
    <row r="675" spans="1:8">
      <c r="A675" s="1">
        <v>674</v>
      </c>
      <c r="B675" t="str">
        <f t="shared" si="32"/>
        <v>Smart Grid Substation</v>
      </c>
      <c r="C675" t="s">
        <v>7</v>
      </c>
      <c r="D675" s="2">
        <v>124219</v>
      </c>
      <c r="E675">
        <v>102</v>
      </c>
      <c r="F675" t="s">
        <v>14</v>
      </c>
      <c r="G675" s="2">
        <f t="shared" si="30"/>
        <v>118008.05</v>
      </c>
      <c r="H675" s="1">
        <f t="shared" si="31"/>
        <v>132</v>
      </c>
    </row>
    <row r="676" spans="1:8">
      <c r="A676" s="1">
        <v>675</v>
      </c>
      <c r="B676" t="str">
        <f t="shared" si="32"/>
        <v>Elevated Flyover Construction</v>
      </c>
      <c r="C676" t="s">
        <v>6</v>
      </c>
      <c r="D676" s="2">
        <v>319574</v>
      </c>
      <c r="E676">
        <v>180</v>
      </c>
      <c r="F676" t="s">
        <v>14</v>
      </c>
      <c r="G676" s="2">
        <f t="shared" si="30"/>
        <v>367510.1</v>
      </c>
      <c r="H676" s="1">
        <f t="shared" si="31"/>
        <v>210</v>
      </c>
    </row>
    <row r="677" spans="1:8">
      <c r="A677" s="1">
        <v>676</v>
      </c>
      <c r="B677" t="str">
        <f t="shared" si="32"/>
        <v>Solar Power Plant Setup</v>
      </c>
      <c r="C677" t="s">
        <v>8</v>
      </c>
      <c r="D677" s="2">
        <v>634661</v>
      </c>
      <c r="E677">
        <v>100</v>
      </c>
      <c r="F677" t="s">
        <v>13</v>
      </c>
      <c r="G677" s="2">
        <f t="shared" si="30"/>
        <v>602927.95</v>
      </c>
      <c r="H677" s="1">
        <f t="shared" si="31"/>
        <v>102</v>
      </c>
    </row>
    <row r="678" spans="1:8">
      <c r="A678" s="1">
        <v>677</v>
      </c>
      <c r="B678" t="str">
        <f t="shared" si="32"/>
        <v>Water Treatment Pipeline</v>
      </c>
      <c r="C678" t="s">
        <v>7</v>
      </c>
      <c r="D678" s="2">
        <v>284962</v>
      </c>
      <c r="E678">
        <v>202</v>
      </c>
      <c r="F678" t="s">
        <v>14</v>
      </c>
      <c r="G678" s="2">
        <f t="shared" si="30"/>
        <v>270713.9</v>
      </c>
      <c r="H678" s="1">
        <f t="shared" si="31"/>
        <v>232</v>
      </c>
    </row>
    <row r="679" spans="1:8">
      <c r="A679" s="1">
        <v>678</v>
      </c>
      <c r="B679" t="str">
        <f t="shared" si="32"/>
        <v>National Highway Expansion</v>
      </c>
      <c r="C679" t="s">
        <v>7</v>
      </c>
      <c r="D679" s="2">
        <v>538178</v>
      </c>
      <c r="E679">
        <v>118</v>
      </c>
      <c r="F679" t="s">
        <v>13</v>
      </c>
      <c r="G679" s="2">
        <f t="shared" si="30"/>
        <v>511269.1</v>
      </c>
      <c r="H679" s="1">
        <f t="shared" si="31"/>
        <v>120</v>
      </c>
    </row>
    <row r="680" spans="1:8">
      <c r="A680" s="1">
        <v>679</v>
      </c>
      <c r="B680" t="str">
        <f t="shared" si="32"/>
        <v>Metro Corridor Extension</v>
      </c>
      <c r="C680" t="s">
        <v>7</v>
      </c>
      <c r="D680" s="2">
        <v>302378</v>
      </c>
      <c r="E680">
        <v>229</v>
      </c>
      <c r="F680" t="s">
        <v>14</v>
      </c>
      <c r="G680" s="2">
        <f t="shared" si="30"/>
        <v>287259.1</v>
      </c>
      <c r="H680" s="1">
        <f t="shared" si="31"/>
        <v>259</v>
      </c>
    </row>
    <row r="681" spans="1:8">
      <c r="A681" s="1">
        <v>680</v>
      </c>
      <c r="B681" t="str">
        <f t="shared" si="32"/>
        <v>Smart Grid Substation</v>
      </c>
      <c r="C681" t="s">
        <v>8</v>
      </c>
      <c r="D681" s="2">
        <v>504173</v>
      </c>
      <c r="E681">
        <v>175</v>
      </c>
      <c r="F681" t="s">
        <v>13</v>
      </c>
      <c r="G681" s="2">
        <f t="shared" si="30"/>
        <v>478964.35</v>
      </c>
      <c r="H681" s="1">
        <f t="shared" si="31"/>
        <v>177</v>
      </c>
    </row>
    <row r="682" spans="1:8">
      <c r="A682" s="1">
        <v>681</v>
      </c>
      <c r="B682" t="str">
        <f t="shared" si="32"/>
        <v>Elevated Flyover Construction</v>
      </c>
      <c r="C682" t="s">
        <v>8</v>
      </c>
      <c r="D682" s="2">
        <v>633871</v>
      </c>
      <c r="E682">
        <v>188</v>
      </c>
      <c r="F682" t="s">
        <v>13</v>
      </c>
      <c r="G682" s="2">
        <f t="shared" si="30"/>
        <v>602177.45</v>
      </c>
      <c r="H682" s="1">
        <f t="shared" si="31"/>
        <v>190</v>
      </c>
    </row>
    <row r="683" spans="1:8">
      <c r="A683" s="1">
        <v>682</v>
      </c>
      <c r="B683" t="str">
        <f t="shared" si="32"/>
        <v>Solar Power Plant Setup</v>
      </c>
      <c r="C683" t="s">
        <v>7</v>
      </c>
      <c r="D683" s="2">
        <v>243675</v>
      </c>
      <c r="E683">
        <v>206</v>
      </c>
      <c r="F683" t="s">
        <v>13</v>
      </c>
      <c r="G683" s="2">
        <f t="shared" si="30"/>
        <v>231491.25</v>
      </c>
      <c r="H683" s="1">
        <f t="shared" si="31"/>
        <v>208</v>
      </c>
    </row>
    <row r="684" spans="1:8">
      <c r="A684" s="1">
        <v>683</v>
      </c>
      <c r="B684" t="str">
        <f t="shared" si="32"/>
        <v>Water Treatment Pipeline</v>
      </c>
      <c r="C684" t="s">
        <v>8</v>
      </c>
      <c r="D684" s="2">
        <v>275109</v>
      </c>
      <c r="E684">
        <v>224</v>
      </c>
      <c r="F684" t="s">
        <v>13</v>
      </c>
      <c r="G684" s="2">
        <f t="shared" si="30"/>
        <v>261353.55</v>
      </c>
      <c r="H684" s="1">
        <f t="shared" si="31"/>
        <v>226</v>
      </c>
    </row>
    <row r="685" spans="1:8">
      <c r="A685" s="1">
        <v>684</v>
      </c>
      <c r="B685" t="str">
        <f t="shared" si="32"/>
        <v>National Highway Expansion</v>
      </c>
      <c r="C685" t="s">
        <v>6</v>
      </c>
      <c r="D685" s="2">
        <v>228168</v>
      </c>
      <c r="E685">
        <v>161</v>
      </c>
      <c r="F685" t="s">
        <v>14</v>
      </c>
      <c r="G685" s="2">
        <f t="shared" si="30"/>
        <v>262393.2</v>
      </c>
      <c r="H685" s="1">
        <f t="shared" si="31"/>
        <v>191</v>
      </c>
    </row>
    <row r="686" spans="1:8">
      <c r="A686" s="1">
        <v>685</v>
      </c>
      <c r="B686" t="str">
        <f t="shared" si="32"/>
        <v>Metro Corridor Extension</v>
      </c>
      <c r="C686" t="s">
        <v>7</v>
      </c>
      <c r="D686" s="2">
        <v>484674</v>
      </c>
      <c r="E686">
        <v>131</v>
      </c>
      <c r="F686" t="s">
        <v>13</v>
      </c>
      <c r="G686" s="2">
        <f t="shared" si="30"/>
        <v>460440.3</v>
      </c>
      <c r="H686" s="1">
        <f t="shared" si="31"/>
        <v>133</v>
      </c>
    </row>
    <row r="687" spans="1:8">
      <c r="A687" s="1">
        <v>686</v>
      </c>
      <c r="B687" t="str">
        <f t="shared" si="32"/>
        <v>Smart Grid Substation</v>
      </c>
      <c r="C687" t="s">
        <v>4</v>
      </c>
      <c r="D687" s="2">
        <v>202374</v>
      </c>
      <c r="E687">
        <v>221</v>
      </c>
      <c r="F687" t="s">
        <v>13</v>
      </c>
      <c r="G687" s="2">
        <f t="shared" si="30"/>
        <v>192255.3</v>
      </c>
      <c r="H687" s="1">
        <f t="shared" si="31"/>
        <v>223</v>
      </c>
    </row>
    <row r="688" spans="1:8">
      <c r="A688" s="1">
        <v>687</v>
      </c>
      <c r="B688" t="str">
        <f t="shared" si="32"/>
        <v>Elevated Flyover Construction</v>
      </c>
      <c r="C688" t="s">
        <v>8</v>
      </c>
      <c r="D688" s="2">
        <v>382802</v>
      </c>
      <c r="E688">
        <v>136</v>
      </c>
      <c r="F688" t="s">
        <v>13</v>
      </c>
      <c r="G688" s="2">
        <f t="shared" si="30"/>
        <v>363661.9</v>
      </c>
      <c r="H688" s="1">
        <f t="shared" si="31"/>
        <v>138</v>
      </c>
    </row>
    <row r="689" spans="1:8">
      <c r="A689" s="1">
        <v>688</v>
      </c>
      <c r="B689" t="str">
        <f t="shared" si="32"/>
        <v>Solar Power Plant Setup</v>
      </c>
      <c r="C689" t="s">
        <v>7</v>
      </c>
      <c r="D689" s="2">
        <v>595843</v>
      </c>
      <c r="E689">
        <v>231</v>
      </c>
      <c r="F689" t="s">
        <v>13</v>
      </c>
      <c r="G689" s="2">
        <f t="shared" si="30"/>
        <v>566050.85</v>
      </c>
      <c r="H689" s="1">
        <f t="shared" si="31"/>
        <v>233</v>
      </c>
    </row>
    <row r="690" spans="1:8">
      <c r="A690" s="1">
        <v>689</v>
      </c>
      <c r="B690" t="str">
        <f t="shared" si="32"/>
        <v>Water Treatment Pipeline</v>
      </c>
      <c r="C690" t="s">
        <v>7</v>
      </c>
      <c r="D690" s="2">
        <v>159843</v>
      </c>
      <c r="E690">
        <v>202</v>
      </c>
      <c r="F690" t="s">
        <v>13</v>
      </c>
      <c r="G690" s="2">
        <f t="shared" si="30"/>
        <v>151850.85</v>
      </c>
      <c r="H690" s="1">
        <f t="shared" si="31"/>
        <v>204</v>
      </c>
    </row>
    <row r="691" spans="1:8">
      <c r="A691" s="1">
        <v>690</v>
      </c>
      <c r="B691" t="str">
        <f t="shared" si="32"/>
        <v>National Highway Expansion</v>
      </c>
      <c r="C691" t="s">
        <v>4</v>
      </c>
      <c r="D691" s="2">
        <v>715699</v>
      </c>
      <c r="E691">
        <v>187</v>
      </c>
      <c r="F691" t="s">
        <v>14</v>
      </c>
      <c r="G691" s="2">
        <f t="shared" si="30"/>
        <v>679914.05</v>
      </c>
      <c r="H691" s="1">
        <f t="shared" si="31"/>
        <v>217</v>
      </c>
    </row>
    <row r="692" spans="1:8">
      <c r="A692" s="1">
        <v>691</v>
      </c>
      <c r="B692" t="str">
        <f t="shared" si="32"/>
        <v>Metro Corridor Extension</v>
      </c>
      <c r="C692" t="s">
        <v>8</v>
      </c>
      <c r="D692" s="2">
        <v>245807</v>
      </c>
      <c r="E692">
        <v>226</v>
      </c>
      <c r="F692" t="s">
        <v>14</v>
      </c>
      <c r="G692" s="2">
        <f t="shared" si="30"/>
        <v>233516.65</v>
      </c>
      <c r="H692" s="1">
        <f t="shared" si="31"/>
        <v>256</v>
      </c>
    </row>
    <row r="693" spans="1:8">
      <c r="A693" s="1">
        <v>692</v>
      </c>
      <c r="B693" t="str">
        <f t="shared" si="32"/>
        <v>Smart Grid Substation</v>
      </c>
      <c r="C693" t="s">
        <v>6</v>
      </c>
      <c r="D693" s="2">
        <v>321509</v>
      </c>
      <c r="E693">
        <v>118</v>
      </c>
      <c r="F693" t="s">
        <v>14</v>
      </c>
      <c r="G693" s="2">
        <f t="shared" si="30"/>
        <v>369735.35</v>
      </c>
      <c r="H693" s="1">
        <f t="shared" si="31"/>
        <v>148</v>
      </c>
    </row>
    <row r="694" spans="1:8">
      <c r="A694" s="1">
        <v>693</v>
      </c>
      <c r="B694" t="str">
        <f t="shared" si="32"/>
        <v>Elevated Flyover Construction</v>
      </c>
      <c r="C694" t="s">
        <v>6</v>
      </c>
      <c r="D694" s="2">
        <v>776004</v>
      </c>
      <c r="E694">
        <v>166</v>
      </c>
      <c r="F694" t="s">
        <v>13</v>
      </c>
      <c r="G694" s="2">
        <f t="shared" si="30"/>
        <v>892404.6</v>
      </c>
      <c r="H694" s="1">
        <f t="shared" si="31"/>
        <v>168</v>
      </c>
    </row>
    <row r="695" spans="1:8">
      <c r="A695" s="1">
        <v>694</v>
      </c>
      <c r="B695" t="str">
        <f t="shared" si="32"/>
        <v>Solar Power Plant Setup</v>
      </c>
      <c r="C695" t="s">
        <v>8</v>
      </c>
      <c r="D695" s="2">
        <v>408973</v>
      </c>
      <c r="E695">
        <v>136</v>
      </c>
      <c r="F695" t="s">
        <v>14</v>
      </c>
      <c r="G695" s="2">
        <f t="shared" si="30"/>
        <v>388524.35</v>
      </c>
      <c r="H695" s="1">
        <f t="shared" si="31"/>
        <v>166</v>
      </c>
    </row>
    <row r="696" spans="1:8">
      <c r="A696" s="1">
        <v>695</v>
      </c>
      <c r="B696" t="str">
        <f t="shared" si="32"/>
        <v>Water Treatment Pipeline</v>
      </c>
      <c r="C696" t="s">
        <v>6</v>
      </c>
      <c r="D696" s="2">
        <v>281126</v>
      </c>
      <c r="E696">
        <v>121</v>
      </c>
      <c r="F696" t="s">
        <v>13</v>
      </c>
      <c r="G696" s="2">
        <f t="shared" si="30"/>
        <v>323294.9</v>
      </c>
      <c r="H696" s="1">
        <f t="shared" si="31"/>
        <v>123</v>
      </c>
    </row>
    <row r="697" spans="1:8">
      <c r="A697" s="1">
        <v>696</v>
      </c>
      <c r="B697" t="str">
        <f t="shared" si="32"/>
        <v>National Highway Expansion</v>
      </c>
      <c r="C697" t="s">
        <v>7</v>
      </c>
      <c r="D697" s="2">
        <v>457410</v>
      </c>
      <c r="E697">
        <v>185</v>
      </c>
      <c r="F697" t="s">
        <v>13</v>
      </c>
      <c r="G697" s="2">
        <f t="shared" si="30"/>
        <v>434539.5</v>
      </c>
      <c r="H697" s="1">
        <f t="shared" si="31"/>
        <v>187</v>
      </c>
    </row>
    <row r="698" spans="1:8">
      <c r="A698" s="1">
        <v>697</v>
      </c>
      <c r="B698" t="str">
        <f t="shared" si="32"/>
        <v>Metro Corridor Extension</v>
      </c>
      <c r="C698" t="s">
        <v>7</v>
      </c>
      <c r="D698" s="2">
        <v>709469</v>
      </c>
      <c r="E698">
        <v>164</v>
      </c>
      <c r="F698" t="s">
        <v>14</v>
      </c>
      <c r="G698" s="2">
        <f t="shared" si="30"/>
        <v>673995.55</v>
      </c>
      <c r="H698" s="1">
        <f t="shared" si="31"/>
        <v>194</v>
      </c>
    </row>
    <row r="699" spans="1:8">
      <c r="A699" s="1">
        <v>698</v>
      </c>
      <c r="B699" t="str">
        <f t="shared" si="32"/>
        <v>Smart Grid Substation</v>
      </c>
      <c r="C699" t="s">
        <v>4</v>
      </c>
      <c r="D699" s="2">
        <v>853733</v>
      </c>
      <c r="E699">
        <v>225</v>
      </c>
      <c r="F699" t="s">
        <v>13</v>
      </c>
      <c r="G699" s="2">
        <f t="shared" si="30"/>
        <v>811046.35</v>
      </c>
      <c r="H699" s="1">
        <f t="shared" si="31"/>
        <v>227</v>
      </c>
    </row>
    <row r="700" spans="1:8">
      <c r="A700" s="1">
        <v>699</v>
      </c>
      <c r="B700" t="str">
        <f t="shared" si="32"/>
        <v>Elevated Flyover Construction</v>
      </c>
      <c r="C700" t="s">
        <v>7</v>
      </c>
      <c r="D700" s="2">
        <v>824922</v>
      </c>
      <c r="E700">
        <v>226</v>
      </c>
      <c r="F700" t="s">
        <v>13</v>
      </c>
      <c r="G700" s="2">
        <f t="shared" si="30"/>
        <v>783675.9</v>
      </c>
      <c r="H700" s="1">
        <f t="shared" si="31"/>
        <v>228</v>
      </c>
    </row>
    <row r="701" spans="1:8">
      <c r="A701" s="1">
        <v>700</v>
      </c>
      <c r="B701" t="str">
        <f t="shared" si="32"/>
        <v>Solar Power Plant Setup</v>
      </c>
      <c r="C701" t="s">
        <v>6</v>
      </c>
      <c r="D701" s="2">
        <v>532691</v>
      </c>
      <c r="E701">
        <v>183</v>
      </c>
      <c r="F701" t="s">
        <v>14</v>
      </c>
      <c r="G701" s="2">
        <f t="shared" si="30"/>
        <v>612594.65</v>
      </c>
      <c r="H701" s="1">
        <f t="shared" si="31"/>
        <v>213</v>
      </c>
    </row>
    <row r="702" spans="1:8">
      <c r="A702" s="1">
        <v>701</v>
      </c>
      <c r="B702" t="str">
        <f t="shared" si="32"/>
        <v>Water Treatment Pipeline</v>
      </c>
      <c r="C702" t="s">
        <v>8</v>
      </c>
      <c r="D702" s="2">
        <v>307920</v>
      </c>
      <c r="E702">
        <v>170</v>
      </c>
      <c r="F702" t="s">
        <v>13</v>
      </c>
      <c r="G702" s="2">
        <f t="shared" si="30"/>
        <v>292524</v>
      </c>
      <c r="H702" s="1">
        <f t="shared" si="31"/>
        <v>172</v>
      </c>
    </row>
    <row r="703" spans="1:8">
      <c r="A703" s="1">
        <v>702</v>
      </c>
      <c r="B703" t="str">
        <f t="shared" si="32"/>
        <v>National Highway Expansion</v>
      </c>
      <c r="C703" t="s">
        <v>8</v>
      </c>
      <c r="D703" s="2">
        <v>249612</v>
      </c>
      <c r="E703">
        <v>140</v>
      </c>
      <c r="F703" t="s">
        <v>13</v>
      </c>
      <c r="G703" s="2">
        <f t="shared" si="30"/>
        <v>237131.4</v>
      </c>
      <c r="H703" s="1">
        <f t="shared" si="31"/>
        <v>142</v>
      </c>
    </row>
    <row r="704" spans="1:8">
      <c r="A704" s="1">
        <v>703</v>
      </c>
      <c r="B704" t="str">
        <f t="shared" si="32"/>
        <v>Metro Corridor Extension</v>
      </c>
      <c r="C704" t="s">
        <v>5</v>
      </c>
      <c r="D704" s="2">
        <v>206778</v>
      </c>
      <c r="E704">
        <v>154</v>
      </c>
      <c r="F704" t="s">
        <v>13</v>
      </c>
      <c r="G704" s="2">
        <f t="shared" si="30"/>
        <v>196439.1</v>
      </c>
      <c r="H704" s="1">
        <f t="shared" si="31"/>
        <v>156</v>
      </c>
    </row>
    <row r="705" spans="1:8">
      <c r="A705" s="1">
        <v>704</v>
      </c>
      <c r="B705" t="str">
        <f t="shared" si="32"/>
        <v>Smart Grid Substation</v>
      </c>
      <c r="C705" t="s">
        <v>6</v>
      </c>
      <c r="D705" s="2">
        <v>656452</v>
      </c>
      <c r="E705">
        <v>221</v>
      </c>
      <c r="F705" t="s">
        <v>13</v>
      </c>
      <c r="G705" s="2">
        <f t="shared" si="30"/>
        <v>754919.8</v>
      </c>
      <c r="H705" s="1">
        <f t="shared" si="31"/>
        <v>223</v>
      </c>
    </row>
    <row r="706" spans="1:8">
      <c r="A706" s="1">
        <v>705</v>
      </c>
      <c r="B706" t="str">
        <f t="shared" si="32"/>
        <v>Elevated Flyover Construction</v>
      </c>
      <c r="C706" t="s">
        <v>7</v>
      </c>
      <c r="D706" s="2">
        <v>623960</v>
      </c>
      <c r="E706">
        <v>204</v>
      </c>
      <c r="F706" t="s">
        <v>14</v>
      </c>
      <c r="G706" s="2">
        <f t="shared" ref="G706:G769" si="33">IF(C706="North",D706*1.15,D706*0.95)</f>
        <v>592762</v>
      </c>
      <c r="H706" s="1">
        <f t="shared" ref="H706:H769" si="34">IF(F706="Yes",E706+30,E706+2)</f>
        <v>234</v>
      </c>
    </row>
    <row r="707" spans="1:8">
      <c r="A707" s="1">
        <v>706</v>
      </c>
      <c r="B707" t="str">
        <f t="shared" ref="B707:B770" si="35">VLOOKUP(MOD(A707,6),$L$4:$M$9,2,FALSE)</f>
        <v>Solar Power Plant Setup</v>
      </c>
      <c r="C707" t="s">
        <v>6</v>
      </c>
      <c r="D707" s="2">
        <v>412846</v>
      </c>
      <c r="E707">
        <v>92</v>
      </c>
      <c r="F707" t="s">
        <v>14</v>
      </c>
      <c r="G707" s="2">
        <f t="shared" si="33"/>
        <v>474772.9</v>
      </c>
      <c r="H707" s="1">
        <f t="shared" si="34"/>
        <v>122</v>
      </c>
    </row>
    <row r="708" spans="1:8">
      <c r="A708" s="1">
        <v>707</v>
      </c>
      <c r="B708" t="str">
        <f t="shared" si="35"/>
        <v>Water Treatment Pipeline</v>
      </c>
      <c r="C708" t="s">
        <v>7</v>
      </c>
      <c r="D708" s="2">
        <v>664206</v>
      </c>
      <c r="E708">
        <v>166</v>
      </c>
      <c r="F708" t="s">
        <v>14</v>
      </c>
      <c r="G708" s="2">
        <f t="shared" si="33"/>
        <v>630995.7</v>
      </c>
      <c r="H708" s="1">
        <f t="shared" si="34"/>
        <v>196</v>
      </c>
    </row>
    <row r="709" spans="1:8">
      <c r="A709" s="1">
        <v>708</v>
      </c>
      <c r="B709" t="str">
        <f t="shared" si="35"/>
        <v>National Highway Expansion</v>
      </c>
      <c r="C709" t="s">
        <v>4</v>
      </c>
      <c r="D709" s="2">
        <v>163141</v>
      </c>
      <c r="E709">
        <v>145</v>
      </c>
      <c r="F709" t="s">
        <v>14</v>
      </c>
      <c r="G709" s="2">
        <f t="shared" si="33"/>
        <v>154983.95</v>
      </c>
      <c r="H709" s="1">
        <f t="shared" si="34"/>
        <v>175</v>
      </c>
    </row>
    <row r="710" spans="1:8">
      <c r="A710" s="1">
        <v>709</v>
      </c>
      <c r="B710" t="str">
        <f t="shared" si="35"/>
        <v>Metro Corridor Extension</v>
      </c>
      <c r="C710" t="s">
        <v>7</v>
      </c>
      <c r="D710" s="2">
        <v>673048</v>
      </c>
      <c r="E710">
        <v>126</v>
      </c>
      <c r="F710" t="s">
        <v>14</v>
      </c>
      <c r="G710" s="2">
        <f t="shared" si="33"/>
        <v>639395.6</v>
      </c>
      <c r="H710" s="1">
        <f t="shared" si="34"/>
        <v>156</v>
      </c>
    </row>
    <row r="711" spans="1:8">
      <c r="A711" s="1">
        <v>710</v>
      </c>
      <c r="B711" t="str">
        <f t="shared" si="35"/>
        <v>Smart Grid Substation</v>
      </c>
      <c r="C711" t="s">
        <v>8</v>
      </c>
      <c r="D711" s="2">
        <v>857451</v>
      </c>
      <c r="E711">
        <v>205</v>
      </c>
      <c r="F711" t="s">
        <v>13</v>
      </c>
      <c r="G711" s="2">
        <f t="shared" si="33"/>
        <v>814578.45</v>
      </c>
      <c r="H711" s="1">
        <f t="shared" si="34"/>
        <v>207</v>
      </c>
    </row>
    <row r="712" spans="1:8">
      <c r="A712" s="1">
        <v>711</v>
      </c>
      <c r="B712" t="str">
        <f t="shared" si="35"/>
        <v>Elevated Flyover Construction</v>
      </c>
      <c r="C712" t="s">
        <v>8</v>
      </c>
      <c r="D712" s="2">
        <v>550703</v>
      </c>
      <c r="E712">
        <v>235</v>
      </c>
      <c r="F712" t="s">
        <v>13</v>
      </c>
      <c r="G712" s="2">
        <f t="shared" si="33"/>
        <v>523167.85</v>
      </c>
      <c r="H712" s="1">
        <f t="shared" si="34"/>
        <v>237</v>
      </c>
    </row>
    <row r="713" spans="1:8">
      <c r="A713" s="1">
        <v>712</v>
      </c>
      <c r="B713" t="str">
        <f t="shared" si="35"/>
        <v>Solar Power Plant Setup</v>
      </c>
      <c r="C713" t="s">
        <v>5</v>
      </c>
      <c r="D713" s="2">
        <v>760613</v>
      </c>
      <c r="E713">
        <v>189</v>
      </c>
      <c r="F713" t="s">
        <v>14</v>
      </c>
      <c r="G713" s="2">
        <f t="shared" si="33"/>
        <v>722582.35</v>
      </c>
      <c r="H713" s="1">
        <f t="shared" si="34"/>
        <v>219</v>
      </c>
    </row>
    <row r="714" spans="1:8">
      <c r="A714" s="1">
        <v>713</v>
      </c>
      <c r="B714" t="str">
        <f t="shared" si="35"/>
        <v>Water Treatment Pipeline</v>
      </c>
      <c r="C714" t="s">
        <v>7</v>
      </c>
      <c r="D714" s="2">
        <v>112919</v>
      </c>
      <c r="E714">
        <v>108</v>
      </c>
      <c r="F714" t="s">
        <v>13</v>
      </c>
      <c r="G714" s="2">
        <f t="shared" si="33"/>
        <v>107273.05</v>
      </c>
      <c r="H714" s="1">
        <f t="shared" si="34"/>
        <v>110</v>
      </c>
    </row>
    <row r="715" spans="1:8">
      <c r="A715" s="1">
        <v>714</v>
      </c>
      <c r="B715" t="str">
        <f t="shared" si="35"/>
        <v>National Highway Expansion</v>
      </c>
      <c r="C715" t="s">
        <v>4</v>
      </c>
      <c r="D715" s="2">
        <v>209833</v>
      </c>
      <c r="E715">
        <v>218</v>
      </c>
      <c r="F715" t="s">
        <v>13</v>
      </c>
      <c r="G715" s="2">
        <f t="shared" si="33"/>
        <v>199341.35</v>
      </c>
      <c r="H715" s="1">
        <f t="shared" si="34"/>
        <v>220</v>
      </c>
    </row>
    <row r="716" spans="1:8">
      <c r="A716" s="1">
        <v>715</v>
      </c>
      <c r="B716" t="str">
        <f t="shared" si="35"/>
        <v>Metro Corridor Extension</v>
      </c>
      <c r="C716" t="s">
        <v>6</v>
      </c>
      <c r="D716" s="2">
        <v>728710</v>
      </c>
      <c r="E716">
        <v>93</v>
      </c>
      <c r="F716" t="s">
        <v>13</v>
      </c>
      <c r="G716" s="2">
        <f t="shared" si="33"/>
        <v>838016.5</v>
      </c>
      <c r="H716" s="1">
        <f t="shared" si="34"/>
        <v>95</v>
      </c>
    </row>
    <row r="717" spans="1:8">
      <c r="A717" s="1">
        <v>716</v>
      </c>
      <c r="B717" t="str">
        <f t="shared" si="35"/>
        <v>Smart Grid Substation</v>
      </c>
      <c r="C717" t="s">
        <v>7</v>
      </c>
      <c r="D717" s="2">
        <v>814382</v>
      </c>
      <c r="E717">
        <v>210</v>
      </c>
      <c r="F717" t="s">
        <v>14</v>
      </c>
      <c r="G717" s="2">
        <f t="shared" si="33"/>
        <v>773662.9</v>
      </c>
      <c r="H717" s="1">
        <f t="shared" si="34"/>
        <v>240</v>
      </c>
    </row>
    <row r="718" spans="1:8">
      <c r="A718" s="1">
        <v>717</v>
      </c>
      <c r="B718" t="str">
        <f t="shared" si="35"/>
        <v>Elevated Flyover Construction</v>
      </c>
      <c r="C718" t="s">
        <v>7</v>
      </c>
      <c r="D718" s="2">
        <v>172446</v>
      </c>
      <c r="E718">
        <v>199</v>
      </c>
      <c r="F718" t="s">
        <v>13</v>
      </c>
      <c r="G718" s="2">
        <f t="shared" si="33"/>
        <v>163823.7</v>
      </c>
      <c r="H718" s="1">
        <f t="shared" si="34"/>
        <v>201</v>
      </c>
    </row>
    <row r="719" spans="1:8">
      <c r="A719" s="1">
        <v>718</v>
      </c>
      <c r="B719" t="str">
        <f t="shared" si="35"/>
        <v>Solar Power Plant Setup</v>
      </c>
      <c r="C719" t="s">
        <v>7</v>
      </c>
      <c r="D719" s="2">
        <v>354678</v>
      </c>
      <c r="E719">
        <v>179</v>
      </c>
      <c r="F719" t="s">
        <v>13</v>
      </c>
      <c r="G719" s="2">
        <f t="shared" si="33"/>
        <v>336944.1</v>
      </c>
      <c r="H719" s="1">
        <f t="shared" si="34"/>
        <v>181</v>
      </c>
    </row>
    <row r="720" spans="1:8">
      <c r="A720" s="1">
        <v>719</v>
      </c>
      <c r="B720" t="str">
        <f t="shared" si="35"/>
        <v>Water Treatment Pipeline</v>
      </c>
      <c r="C720" t="s">
        <v>7</v>
      </c>
      <c r="D720" s="2">
        <v>294506</v>
      </c>
      <c r="E720">
        <v>208</v>
      </c>
      <c r="F720" t="s">
        <v>14</v>
      </c>
      <c r="G720" s="2">
        <f t="shared" si="33"/>
        <v>279780.7</v>
      </c>
      <c r="H720" s="1">
        <f t="shared" si="34"/>
        <v>238</v>
      </c>
    </row>
    <row r="721" spans="1:8">
      <c r="A721" s="1">
        <v>720</v>
      </c>
      <c r="B721" t="str">
        <f t="shared" si="35"/>
        <v>National Highway Expansion</v>
      </c>
      <c r="C721" t="s">
        <v>8</v>
      </c>
      <c r="D721" s="2">
        <v>841589</v>
      </c>
      <c r="E721">
        <v>232</v>
      </c>
      <c r="F721" t="s">
        <v>14</v>
      </c>
      <c r="G721" s="2">
        <f t="shared" si="33"/>
        <v>799509.55</v>
      </c>
      <c r="H721" s="1">
        <f t="shared" si="34"/>
        <v>262</v>
      </c>
    </row>
    <row r="722" spans="1:8">
      <c r="A722" s="1">
        <v>721</v>
      </c>
      <c r="B722" t="str">
        <f t="shared" si="35"/>
        <v>Metro Corridor Extension</v>
      </c>
      <c r="C722" t="s">
        <v>8</v>
      </c>
      <c r="D722" s="2">
        <v>520792</v>
      </c>
      <c r="E722">
        <v>173</v>
      </c>
      <c r="F722" t="s">
        <v>13</v>
      </c>
      <c r="G722" s="2">
        <f t="shared" si="33"/>
        <v>494752.4</v>
      </c>
      <c r="H722" s="1">
        <f t="shared" si="34"/>
        <v>175</v>
      </c>
    </row>
    <row r="723" spans="1:8">
      <c r="A723" s="1">
        <v>722</v>
      </c>
      <c r="B723" t="str">
        <f t="shared" si="35"/>
        <v>Smart Grid Substation</v>
      </c>
      <c r="C723" t="s">
        <v>7</v>
      </c>
      <c r="D723" s="2">
        <v>124427</v>
      </c>
      <c r="E723">
        <v>194</v>
      </c>
      <c r="F723" t="s">
        <v>13</v>
      </c>
      <c r="G723" s="2">
        <f t="shared" si="33"/>
        <v>118205.65</v>
      </c>
      <c r="H723" s="1">
        <f t="shared" si="34"/>
        <v>196</v>
      </c>
    </row>
    <row r="724" spans="1:8">
      <c r="A724" s="1">
        <v>723</v>
      </c>
      <c r="B724" t="str">
        <f t="shared" si="35"/>
        <v>Elevated Flyover Construction</v>
      </c>
      <c r="C724" t="s">
        <v>5</v>
      </c>
      <c r="D724" s="2">
        <v>238022</v>
      </c>
      <c r="E724">
        <v>138</v>
      </c>
      <c r="F724" t="s">
        <v>14</v>
      </c>
      <c r="G724" s="2">
        <f t="shared" si="33"/>
        <v>226120.9</v>
      </c>
      <c r="H724" s="1">
        <f t="shared" si="34"/>
        <v>168</v>
      </c>
    </row>
    <row r="725" spans="1:8">
      <c r="A725" s="1">
        <v>724</v>
      </c>
      <c r="B725" t="str">
        <f t="shared" si="35"/>
        <v>Solar Power Plant Setup</v>
      </c>
      <c r="C725" t="s">
        <v>8</v>
      </c>
      <c r="D725" s="2">
        <v>681315</v>
      </c>
      <c r="E725">
        <v>229</v>
      </c>
      <c r="F725" t="s">
        <v>14</v>
      </c>
      <c r="G725" s="2">
        <f t="shared" si="33"/>
        <v>647249.25</v>
      </c>
      <c r="H725" s="1">
        <f t="shared" si="34"/>
        <v>259</v>
      </c>
    </row>
    <row r="726" spans="1:8">
      <c r="A726" s="1">
        <v>725</v>
      </c>
      <c r="B726" t="str">
        <f t="shared" si="35"/>
        <v>Water Treatment Pipeline</v>
      </c>
      <c r="C726" t="s">
        <v>7</v>
      </c>
      <c r="D726" s="2">
        <v>338357</v>
      </c>
      <c r="E726">
        <v>199</v>
      </c>
      <c r="F726" t="s">
        <v>14</v>
      </c>
      <c r="G726" s="2">
        <f t="shared" si="33"/>
        <v>321439.15</v>
      </c>
      <c r="H726" s="1">
        <f t="shared" si="34"/>
        <v>229</v>
      </c>
    </row>
    <row r="727" spans="1:8">
      <c r="A727" s="1">
        <v>726</v>
      </c>
      <c r="B727" t="str">
        <f t="shared" si="35"/>
        <v>National Highway Expansion</v>
      </c>
      <c r="C727" t="s">
        <v>8</v>
      </c>
      <c r="D727" s="2">
        <v>415198</v>
      </c>
      <c r="E727">
        <v>232</v>
      </c>
      <c r="F727" t="s">
        <v>14</v>
      </c>
      <c r="G727" s="2">
        <f t="shared" si="33"/>
        <v>394438.1</v>
      </c>
      <c r="H727" s="1">
        <f t="shared" si="34"/>
        <v>262</v>
      </c>
    </row>
    <row r="728" spans="1:8">
      <c r="A728" s="1">
        <v>727</v>
      </c>
      <c r="B728" t="str">
        <f t="shared" si="35"/>
        <v>Metro Corridor Extension</v>
      </c>
      <c r="C728" t="s">
        <v>6</v>
      </c>
      <c r="D728" s="2">
        <v>699886</v>
      </c>
      <c r="E728">
        <v>118</v>
      </c>
      <c r="F728" t="s">
        <v>13</v>
      </c>
      <c r="G728" s="2">
        <f t="shared" si="33"/>
        <v>804868.9</v>
      </c>
      <c r="H728" s="1">
        <f t="shared" si="34"/>
        <v>120</v>
      </c>
    </row>
    <row r="729" spans="1:8">
      <c r="A729" s="1">
        <v>728</v>
      </c>
      <c r="B729" t="str">
        <f t="shared" si="35"/>
        <v>Smart Grid Substation</v>
      </c>
      <c r="C729" t="s">
        <v>6</v>
      </c>
      <c r="D729" s="2">
        <v>552282</v>
      </c>
      <c r="E729">
        <v>171</v>
      </c>
      <c r="F729" t="s">
        <v>14</v>
      </c>
      <c r="G729" s="2">
        <f t="shared" si="33"/>
        <v>635124.3</v>
      </c>
      <c r="H729" s="1">
        <f t="shared" si="34"/>
        <v>201</v>
      </c>
    </row>
    <row r="730" spans="1:8">
      <c r="A730" s="1">
        <v>729</v>
      </c>
      <c r="B730" t="str">
        <f t="shared" si="35"/>
        <v>Elevated Flyover Construction</v>
      </c>
      <c r="C730" t="s">
        <v>6</v>
      </c>
      <c r="D730" s="2">
        <v>884575</v>
      </c>
      <c r="E730">
        <v>96</v>
      </c>
      <c r="F730" t="s">
        <v>13</v>
      </c>
      <c r="G730" s="2">
        <f t="shared" si="33"/>
        <v>1017261.25</v>
      </c>
      <c r="H730" s="1">
        <f t="shared" si="34"/>
        <v>98</v>
      </c>
    </row>
    <row r="731" spans="1:8">
      <c r="A731" s="1">
        <v>730</v>
      </c>
      <c r="B731" t="str">
        <f t="shared" si="35"/>
        <v>Solar Power Plant Setup</v>
      </c>
      <c r="C731" t="s">
        <v>6</v>
      </c>
      <c r="D731" s="2">
        <v>766750</v>
      </c>
      <c r="E731">
        <v>227</v>
      </c>
      <c r="F731" t="s">
        <v>14</v>
      </c>
      <c r="G731" s="2">
        <f t="shared" si="33"/>
        <v>881762.5</v>
      </c>
      <c r="H731" s="1">
        <f t="shared" si="34"/>
        <v>257</v>
      </c>
    </row>
    <row r="732" spans="1:8">
      <c r="A732" s="1">
        <v>731</v>
      </c>
      <c r="B732" t="str">
        <f t="shared" si="35"/>
        <v>Water Treatment Pipeline</v>
      </c>
      <c r="C732" t="s">
        <v>8</v>
      </c>
      <c r="D732" s="2">
        <v>315286</v>
      </c>
      <c r="E732">
        <v>122</v>
      </c>
      <c r="F732" t="s">
        <v>13</v>
      </c>
      <c r="G732" s="2">
        <f t="shared" si="33"/>
        <v>299521.7</v>
      </c>
      <c r="H732" s="1">
        <f t="shared" si="34"/>
        <v>124</v>
      </c>
    </row>
    <row r="733" spans="1:8">
      <c r="A733" s="1">
        <v>732</v>
      </c>
      <c r="B733" t="str">
        <f t="shared" si="35"/>
        <v>National Highway Expansion</v>
      </c>
      <c r="C733" t="s">
        <v>4</v>
      </c>
      <c r="D733" s="2">
        <v>747206</v>
      </c>
      <c r="E733">
        <v>232</v>
      </c>
      <c r="F733" t="s">
        <v>13</v>
      </c>
      <c r="G733" s="2">
        <f t="shared" si="33"/>
        <v>709845.7</v>
      </c>
      <c r="H733" s="1">
        <f t="shared" si="34"/>
        <v>234</v>
      </c>
    </row>
    <row r="734" spans="1:8">
      <c r="A734" s="1">
        <v>733</v>
      </c>
      <c r="B734" t="str">
        <f t="shared" si="35"/>
        <v>Metro Corridor Extension</v>
      </c>
      <c r="C734" t="s">
        <v>4</v>
      </c>
      <c r="D734" s="2">
        <v>358899</v>
      </c>
      <c r="E734">
        <v>115</v>
      </c>
      <c r="F734" t="s">
        <v>13</v>
      </c>
      <c r="G734" s="2">
        <f t="shared" si="33"/>
        <v>340954.05</v>
      </c>
      <c r="H734" s="1">
        <f t="shared" si="34"/>
        <v>117</v>
      </c>
    </row>
    <row r="735" spans="1:8">
      <c r="A735" s="1">
        <v>734</v>
      </c>
      <c r="B735" t="str">
        <f t="shared" si="35"/>
        <v>Smart Grid Substation</v>
      </c>
      <c r="C735" t="s">
        <v>5</v>
      </c>
      <c r="D735" s="2">
        <v>531494</v>
      </c>
      <c r="E735">
        <v>129</v>
      </c>
      <c r="F735" t="s">
        <v>13</v>
      </c>
      <c r="G735" s="2">
        <f t="shared" si="33"/>
        <v>504919.3</v>
      </c>
      <c r="H735" s="1">
        <f t="shared" si="34"/>
        <v>131</v>
      </c>
    </row>
    <row r="736" spans="1:8">
      <c r="A736" s="1">
        <v>735</v>
      </c>
      <c r="B736" t="str">
        <f t="shared" si="35"/>
        <v>Elevated Flyover Construction</v>
      </c>
      <c r="C736" t="s">
        <v>4</v>
      </c>
      <c r="D736" s="2">
        <v>539111</v>
      </c>
      <c r="E736">
        <v>205</v>
      </c>
      <c r="F736" t="s">
        <v>13</v>
      </c>
      <c r="G736" s="2">
        <f t="shared" si="33"/>
        <v>512155.45</v>
      </c>
      <c r="H736" s="1">
        <f t="shared" si="34"/>
        <v>207</v>
      </c>
    </row>
    <row r="737" spans="1:8">
      <c r="A737" s="1">
        <v>736</v>
      </c>
      <c r="B737" t="str">
        <f t="shared" si="35"/>
        <v>Solar Power Plant Setup</v>
      </c>
      <c r="C737" t="s">
        <v>4</v>
      </c>
      <c r="D737" s="2">
        <v>187908</v>
      </c>
      <c r="E737">
        <v>173</v>
      </c>
      <c r="F737" t="s">
        <v>14</v>
      </c>
      <c r="G737" s="2">
        <f t="shared" si="33"/>
        <v>178512.6</v>
      </c>
      <c r="H737" s="1">
        <f t="shared" si="34"/>
        <v>203</v>
      </c>
    </row>
    <row r="738" spans="1:8">
      <c r="A738" s="1">
        <v>737</v>
      </c>
      <c r="B738" t="str">
        <f t="shared" si="35"/>
        <v>Water Treatment Pipeline</v>
      </c>
      <c r="C738" t="s">
        <v>7</v>
      </c>
      <c r="D738" s="2">
        <v>655060</v>
      </c>
      <c r="E738">
        <v>103</v>
      </c>
      <c r="F738" t="s">
        <v>13</v>
      </c>
      <c r="G738" s="2">
        <f t="shared" si="33"/>
        <v>622307</v>
      </c>
      <c r="H738" s="1">
        <f t="shared" si="34"/>
        <v>105</v>
      </c>
    </row>
    <row r="739" spans="1:8">
      <c r="A739" s="1">
        <v>738</v>
      </c>
      <c r="B739" t="str">
        <f t="shared" si="35"/>
        <v>National Highway Expansion</v>
      </c>
      <c r="C739" t="s">
        <v>7</v>
      </c>
      <c r="D739" s="2">
        <v>489658</v>
      </c>
      <c r="E739">
        <v>126</v>
      </c>
      <c r="F739" t="s">
        <v>14</v>
      </c>
      <c r="G739" s="2">
        <f t="shared" si="33"/>
        <v>465175.1</v>
      </c>
      <c r="H739" s="1">
        <f t="shared" si="34"/>
        <v>156</v>
      </c>
    </row>
    <row r="740" spans="1:8">
      <c r="A740" s="1">
        <v>739</v>
      </c>
      <c r="B740" t="str">
        <f t="shared" si="35"/>
        <v>Metro Corridor Extension</v>
      </c>
      <c r="C740" t="s">
        <v>7</v>
      </c>
      <c r="D740" s="2">
        <v>262750</v>
      </c>
      <c r="E740">
        <v>209</v>
      </c>
      <c r="F740" t="s">
        <v>14</v>
      </c>
      <c r="G740" s="2">
        <f t="shared" si="33"/>
        <v>249612.5</v>
      </c>
      <c r="H740" s="1">
        <f t="shared" si="34"/>
        <v>239</v>
      </c>
    </row>
    <row r="741" spans="1:8">
      <c r="A741" s="1">
        <v>740</v>
      </c>
      <c r="B741" t="str">
        <f t="shared" si="35"/>
        <v>Smart Grid Substation</v>
      </c>
      <c r="C741" t="s">
        <v>7</v>
      </c>
      <c r="D741" s="2">
        <v>861384</v>
      </c>
      <c r="E741">
        <v>196</v>
      </c>
      <c r="F741" t="s">
        <v>14</v>
      </c>
      <c r="G741" s="2">
        <f t="shared" si="33"/>
        <v>818314.8</v>
      </c>
      <c r="H741" s="1">
        <f t="shared" si="34"/>
        <v>226</v>
      </c>
    </row>
    <row r="742" spans="1:8">
      <c r="A742" s="1">
        <v>741</v>
      </c>
      <c r="B742" t="str">
        <f t="shared" si="35"/>
        <v>Elevated Flyover Construction</v>
      </c>
      <c r="C742" t="s">
        <v>7</v>
      </c>
      <c r="D742" s="2">
        <v>645847</v>
      </c>
      <c r="E742">
        <v>175</v>
      </c>
      <c r="F742" t="s">
        <v>13</v>
      </c>
      <c r="G742" s="2">
        <f t="shared" si="33"/>
        <v>613554.65</v>
      </c>
      <c r="H742" s="1">
        <f t="shared" si="34"/>
        <v>177</v>
      </c>
    </row>
    <row r="743" spans="1:8">
      <c r="A743" s="1">
        <v>742</v>
      </c>
      <c r="B743" t="str">
        <f t="shared" si="35"/>
        <v>Solar Power Plant Setup</v>
      </c>
      <c r="C743" t="s">
        <v>6</v>
      </c>
      <c r="D743" s="2">
        <v>438489</v>
      </c>
      <c r="E743">
        <v>210</v>
      </c>
      <c r="F743" t="s">
        <v>13</v>
      </c>
      <c r="G743" s="2">
        <f t="shared" si="33"/>
        <v>504262.35</v>
      </c>
      <c r="H743" s="1">
        <f t="shared" si="34"/>
        <v>212</v>
      </c>
    </row>
    <row r="744" spans="1:8">
      <c r="A744" s="1">
        <v>743</v>
      </c>
      <c r="B744" t="str">
        <f t="shared" si="35"/>
        <v>Water Treatment Pipeline</v>
      </c>
      <c r="C744" t="s">
        <v>5</v>
      </c>
      <c r="D744" s="2">
        <v>120946</v>
      </c>
      <c r="E744">
        <v>110</v>
      </c>
      <c r="F744" t="s">
        <v>14</v>
      </c>
      <c r="G744" s="2">
        <f t="shared" si="33"/>
        <v>114898.7</v>
      </c>
      <c r="H744" s="1">
        <f t="shared" si="34"/>
        <v>140</v>
      </c>
    </row>
    <row r="745" spans="1:8">
      <c r="A745" s="1">
        <v>744</v>
      </c>
      <c r="B745" t="str">
        <f t="shared" si="35"/>
        <v>National Highway Expansion</v>
      </c>
      <c r="C745" t="s">
        <v>4</v>
      </c>
      <c r="D745" s="2">
        <v>638461</v>
      </c>
      <c r="E745">
        <v>232</v>
      </c>
      <c r="F745" t="s">
        <v>13</v>
      </c>
      <c r="G745" s="2">
        <f t="shared" si="33"/>
        <v>606537.95</v>
      </c>
      <c r="H745" s="1">
        <f t="shared" si="34"/>
        <v>234</v>
      </c>
    </row>
    <row r="746" spans="1:8">
      <c r="A746" s="1">
        <v>745</v>
      </c>
      <c r="B746" t="str">
        <f t="shared" si="35"/>
        <v>Metro Corridor Extension</v>
      </c>
      <c r="C746" t="s">
        <v>4</v>
      </c>
      <c r="D746" s="2">
        <v>867438</v>
      </c>
      <c r="E746">
        <v>161</v>
      </c>
      <c r="F746" t="s">
        <v>14</v>
      </c>
      <c r="G746" s="2">
        <f t="shared" si="33"/>
        <v>824066.1</v>
      </c>
      <c r="H746" s="1">
        <f t="shared" si="34"/>
        <v>191</v>
      </c>
    </row>
    <row r="747" spans="1:8">
      <c r="A747" s="1">
        <v>746</v>
      </c>
      <c r="B747" t="str">
        <f t="shared" si="35"/>
        <v>Smart Grid Substation</v>
      </c>
      <c r="C747" t="s">
        <v>5</v>
      </c>
      <c r="D747" s="2">
        <v>710308</v>
      </c>
      <c r="E747">
        <v>232</v>
      </c>
      <c r="F747" t="s">
        <v>13</v>
      </c>
      <c r="G747" s="2">
        <f t="shared" si="33"/>
        <v>674792.6</v>
      </c>
      <c r="H747" s="1">
        <f t="shared" si="34"/>
        <v>234</v>
      </c>
    </row>
    <row r="748" spans="1:8">
      <c r="A748" s="1">
        <v>747</v>
      </c>
      <c r="B748" t="str">
        <f t="shared" si="35"/>
        <v>Elevated Flyover Construction</v>
      </c>
      <c r="C748" t="s">
        <v>8</v>
      </c>
      <c r="D748" s="2">
        <v>158715</v>
      </c>
      <c r="E748">
        <v>167</v>
      </c>
      <c r="F748" t="s">
        <v>13</v>
      </c>
      <c r="G748" s="2">
        <f t="shared" si="33"/>
        <v>150779.25</v>
      </c>
      <c r="H748" s="1">
        <f t="shared" si="34"/>
        <v>169</v>
      </c>
    </row>
    <row r="749" spans="1:8">
      <c r="A749" s="1">
        <v>748</v>
      </c>
      <c r="B749" t="str">
        <f t="shared" si="35"/>
        <v>Solar Power Plant Setup</v>
      </c>
      <c r="C749" t="s">
        <v>8</v>
      </c>
      <c r="D749" s="2">
        <v>349102</v>
      </c>
      <c r="E749">
        <v>185</v>
      </c>
      <c r="F749" t="s">
        <v>14</v>
      </c>
      <c r="G749" s="2">
        <f t="shared" si="33"/>
        <v>331646.9</v>
      </c>
      <c r="H749" s="1">
        <f t="shared" si="34"/>
        <v>215</v>
      </c>
    </row>
    <row r="750" spans="1:8">
      <c r="A750" s="1">
        <v>749</v>
      </c>
      <c r="B750" t="str">
        <f t="shared" si="35"/>
        <v>Water Treatment Pipeline</v>
      </c>
      <c r="C750" t="s">
        <v>4</v>
      </c>
      <c r="D750" s="2">
        <v>596013</v>
      </c>
      <c r="E750">
        <v>210</v>
      </c>
      <c r="F750" t="s">
        <v>14</v>
      </c>
      <c r="G750" s="2">
        <f t="shared" si="33"/>
        <v>566212.35</v>
      </c>
      <c r="H750" s="1">
        <f t="shared" si="34"/>
        <v>240</v>
      </c>
    </row>
    <row r="751" spans="1:8">
      <c r="A751" s="1">
        <v>750</v>
      </c>
      <c r="B751" t="str">
        <f t="shared" si="35"/>
        <v>National Highway Expansion</v>
      </c>
      <c r="C751" t="s">
        <v>4</v>
      </c>
      <c r="D751" s="2">
        <v>841212</v>
      </c>
      <c r="E751">
        <v>240</v>
      </c>
      <c r="F751" t="s">
        <v>13</v>
      </c>
      <c r="G751" s="2">
        <f t="shared" si="33"/>
        <v>799151.4</v>
      </c>
      <c r="H751" s="1">
        <f t="shared" si="34"/>
        <v>242</v>
      </c>
    </row>
    <row r="752" spans="1:8">
      <c r="A752" s="1">
        <v>751</v>
      </c>
      <c r="B752" t="str">
        <f t="shared" si="35"/>
        <v>Metro Corridor Extension</v>
      </c>
      <c r="C752" t="s">
        <v>5</v>
      </c>
      <c r="D752" s="2">
        <v>683475</v>
      </c>
      <c r="E752">
        <v>159</v>
      </c>
      <c r="F752" t="s">
        <v>14</v>
      </c>
      <c r="G752" s="2">
        <f t="shared" si="33"/>
        <v>649301.25</v>
      </c>
      <c r="H752" s="1">
        <f t="shared" si="34"/>
        <v>189</v>
      </c>
    </row>
    <row r="753" spans="1:8">
      <c r="A753" s="1">
        <v>752</v>
      </c>
      <c r="B753" t="str">
        <f t="shared" si="35"/>
        <v>Smart Grid Substation</v>
      </c>
      <c r="C753" t="s">
        <v>4</v>
      </c>
      <c r="D753" s="2">
        <v>405344</v>
      </c>
      <c r="E753">
        <v>226</v>
      </c>
      <c r="F753" t="s">
        <v>14</v>
      </c>
      <c r="G753" s="2">
        <f t="shared" si="33"/>
        <v>385076.8</v>
      </c>
      <c r="H753" s="1">
        <f t="shared" si="34"/>
        <v>256</v>
      </c>
    </row>
    <row r="754" spans="1:8">
      <c r="A754" s="1">
        <v>753</v>
      </c>
      <c r="B754" t="str">
        <f t="shared" si="35"/>
        <v>Elevated Flyover Construction</v>
      </c>
      <c r="C754" t="s">
        <v>6</v>
      </c>
      <c r="D754" s="2">
        <v>419357</v>
      </c>
      <c r="E754">
        <v>203</v>
      </c>
      <c r="F754" t="s">
        <v>13</v>
      </c>
      <c r="G754" s="2">
        <f t="shared" si="33"/>
        <v>482260.55</v>
      </c>
      <c r="H754" s="1">
        <f t="shared" si="34"/>
        <v>205</v>
      </c>
    </row>
    <row r="755" spans="1:8">
      <c r="A755" s="1">
        <v>754</v>
      </c>
      <c r="B755" t="str">
        <f t="shared" si="35"/>
        <v>Solar Power Plant Setup</v>
      </c>
      <c r="C755" t="s">
        <v>8</v>
      </c>
      <c r="D755" s="2">
        <v>582943</v>
      </c>
      <c r="E755">
        <v>124</v>
      </c>
      <c r="F755" t="s">
        <v>13</v>
      </c>
      <c r="G755" s="2">
        <f t="shared" si="33"/>
        <v>553795.85</v>
      </c>
      <c r="H755" s="1">
        <f t="shared" si="34"/>
        <v>126</v>
      </c>
    </row>
    <row r="756" spans="1:8">
      <c r="A756" s="1">
        <v>755</v>
      </c>
      <c r="B756" t="str">
        <f t="shared" si="35"/>
        <v>Water Treatment Pipeline</v>
      </c>
      <c r="C756" t="s">
        <v>7</v>
      </c>
      <c r="D756" s="2">
        <v>865279</v>
      </c>
      <c r="E756">
        <v>125</v>
      </c>
      <c r="F756" t="s">
        <v>14</v>
      </c>
      <c r="G756" s="2">
        <f t="shared" si="33"/>
        <v>822015.05</v>
      </c>
      <c r="H756" s="1">
        <f t="shared" si="34"/>
        <v>155</v>
      </c>
    </row>
    <row r="757" spans="1:8">
      <c r="A757" s="1">
        <v>756</v>
      </c>
      <c r="B757" t="str">
        <f t="shared" si="35"/>
        <v>National Highway Expansion</v>
      </c>
      <c r="C757" t="s">
        <v>5</v>
      </c>
      <c r="D757" s="2">
        <v>205551</v>
      </c>
      <c r="E757">
        <v>101</v>
      </c>
      <c r="F757" t="s">
        <v>14</v>
      </c>
      <c r="G757" s="2">
        <f t="shared" si="33"/>
        <v>195273.45</v>
      </c>
      <c r="H757" s="1">
        <f t="shared" si="34"/>
        <v>131</v>
      </c>
    </row>
    <row r="758" spans="1:8">
      <c r="A758" s="1">
        <v>757</v>
      </c>
      <c r="B758" t="str">
        <f t="shared" si="35"/>
        <v>Metro Corridor Extension</v>
      </c>
      <c r="C758" t="s">
        <v>6</v>
      </c>
      <c r="D758" s="2">
        <v>836061</v>
      </c>
      <c r="E758">
        <v>100</v>
      </c>
      <c r="F758" t="s">
        <v>14</v>
      </c>
      <c r="G758" s="2">
        <f t="shared" si="33"/>
        <v>961470.15</v>
      </c>
      <c r="H758" s="1">
        <f t="shared" si="34"/>
        <v>130</v>
      </c>
    </row>
    <row r="759" spans="1:8">
      <c r="A759" s="1">
        <v>758</v>
      </c>
      <c r="B759" t="str">
        <f t="shared" si="35"/>
        <v>Smart Grid Substation</v>
      </c>
      <c r="C759" t="s">
        <v>4</v>
      </c>
      <c r="D759" s="2">
        <v>613488</v>
      </c>
      <c r="E759">
        <v>187</v>
      </c>
      <c r="F759" t="s">
        <v>14</v>
      </c>
      <c r="G759" s="2">
        <f t="shared" si="33"/>
        <v>582813.6</v>
      </c>
      <c r="H759" s="1">
        <f t="shared" si="34"/>
        <v>217</v>
      </c>
    </row>
    <row r="760" spans="1:8">
      <c r="A760" s="1">
        <v>759</v>
      </c>
      <c r="B760" t="str">
        <f t="shared" si="35"/>
        <v>Elevated Flyover Construction</v>
      </c>
      <c r="C760" t="s">
        <v>6</v>
      </c>
      <c r="D760" s="2">
        <v>851200</v>
      </c>
      <c r="E760">
        <v>232</v>
      </c>
      <c r="F760" t="s">
        <v>14</v>
      </c>
      <c r="G760" s="2">
        <f t="shared" si="33"/>
        <v>978880</v>
      </c>
      <c r="H760" s="1">
        <f t="shared" si="34"/>
        <v>262</v>
      </c>
    </row>
    <row r="761" spans="1:8">
      <c r="A761" s="1">
        <v>760</v>
      </c>
      <c r="B761" t="str">
        <f t="shared" si="35"/>
        <v>Solar Power Plant Setup</v>
      </c>
      <c r="C761" t="s">
        <v>8</v>
      </c>
      <c r="D761" s="2">
        <v>687118</v>
      </c>
      <c r="E761">
        <v>227</v>
      </c>
      <c r="F761" t="s">
        <v>13</v>
      </c>
      <c r="G761" s="2">
        <f t="shared" si="33"/>
        <v>652762.1</v>
      </c>
      <c r="H761" s="1">
        <f t="shared" si="34"/>
        <v>229</v>
      </c>
    </row>
    <row r="762" spans="1:8">
      <c r="A762" s="1">
        <v>761</v>
      </c>
      <c r="B762" t="str">
        <f t="shared" si="35"/>
        <v>Water Treatment Pipeline</v>
      </c>
      <c r="C762" t="s">
        <v>7</v>
      </c>
      <c r="D762" s="2">
        <v>655259</v>
      </c>
      <c r="E762">
        <v>147</v>
      </c>
      <c r="F762" t="s">
        <v>13</v>
      </c>
      <c r="G762" s="2">
        <f t="shared" si="33"/>
        <v>622496.05</v>
      </c>
      <c r="H762" s="1">
        <f t="shared" si="34"/>
        <v>149</v>
      </c>
    </row>
    <row r="763" spans="1:8">
      <c r="A763" s="1">
        <v>762</v>
      </c>
      <c r="B763" t="str">
        <f t="shared" si="35"/>
        <v>National Highway Expansion</v>
      </c>
      <c r="C763" t="s">
        <v>8</v>
      </c>
      <c r="D763" s="2">
        <v>111557</v>
      </c>
      <c r="E763">
        <v>108</v>
      </c>
      <c r="F763" t="s">
        <v>14</v>
      </c>
      <c r="G763" s="2">
        <f t="shared" si="33"/>
        <v>105979.15</v>
      </c>
      <c r="H763" s="1">
        <f t="shared" si="34"/>
        <v>138</v>
      </c>
    </row>
    <row r="764" spans="1:8">
      <c r="A764" s="1">
        <v>763</v>
      </c>
      <c r="B764" t="str">
        <f t="shared" si="35"/>
        <v>Metro Corridor Extension</v>
      </c>
      <c r="C764" t="s">
        <v>8</v>
      </c>
      <c r="D764" s="2">
        <v>882662</v>
      </c>
      <c r="E764">
        <v>233</v>
      </c>
      <c r="F764" t="s">
        <v>13</v>
      </c>
      <c r="G764" s="2">
        <f t="shared" si="33"/>
        <v>838528.9</v>
      </c>
      <c r="H764" s="1">
        <f t="shared" si="34"/>
        <v>235</v>
      </c>
    </row>
    <row r="765" spans="1:8">
      <c r="A765" s="1">
        <v>764</v>
      </c>
      <c r="B765" t="str">
        <f t="shared" si="35"/>
        <v>Smart Grid Substation</v>
      </c>
      <c r="C765" t="s">
        <v>4</v>
      </c>
      <c r="D765" s="2">
        <v>218541</v>
      </c>
      <c r="E765">
        <v>130</v>
      </c>
      <c r="F765" t="s">
        <v>13</v>
      </c>
      <c r="G765" s="2">
        <f t="shared" si="33"/>
        <v>207613.95</v>
      </c>
      <c r="H765" s="1">
        <f t="shared" si="34"/>
        <v>132</v>
      </c>
    </row>
    <row r="766" spans="1:8">
      <c r="A766" s="1">
        <v>765</v>
      </c>
      <c r="B766" t="str">
        <f t="shared" si="35"/>
        <v>Elevated Flyover Construction</v>
      </c>
      <c r="C766" t="s">
        <v>6</v>
      </c>
      <c r="D766" s="2">
        <v>116345</v>
      </c>
      <c r="E766">
        <v>237</v>
      </c>
      <c r="F766" t="s">
        <v>14</v>
      </c>
      <c r="G766" s="2">
        <f t="shared" si="33"/>
        <v>133796.75</v>
      </c>
      <c r="H766" s="1">
        <f t="shared" si="34"/>
        <v>267</v>
      </c>
    </row>
    <row r="767" spans="1:8">
      <c r="A767" s="1">
        <v>766</v>
      </c>
      <c r="B767" t="str">
        <f t="shared" si="35"/>
        <v>Solar Power Plant Setup</v>
      </c>
      <c r="C767" t="s">
        <v>8</v>
      </c>
      <c r="D767" s="2">
        <v>759860</v>
      </c>
      <c r="E767">
        <v>239</v>
      </c>
      <c r="F767" t="s">
        <v>14</v>
      </c>
      <c r="G767" s="2">
        <f t="shared" si="33"/>
        <v>721867</v>
      </c>
      <c r="H767" s="1">
        <f t="shared" si="34"/>
        <v>269</v>
      </c>
    </row>
    <row r="768" spans="1:8">
      <c r="A768" s="1">
        <v>767</v>
      </c>
      <c r="B768" t="str">
        <f t="shared" si="35"/>
        <v>Water Treatment Pipeline</v>
      </c>
      <c r="C768" t="s">
        <v>4</v>
      </c>
      <c r="D768" s="2">
        <v>877830</v>
      </c>
      <c r="E768">
        <v>165</v>
      </c>
      <c r="F768" t="s">
        <v>14</v>
      </c>
      <c r="G768" s="2">
        <f t="shared" si="33"/>
        <v>833938.5</v>
      </c>
      <c r="H768" s="1">
        <f t="shared" si="34"/>
        <v>195</v>
      </c>
    </row>
    <row r="769" spans="1:8">
      <c r="A769" s="1">
        <v>768</v>
      </c>
      <c r="B769" t="str">
        <f t="shared" si="35"/>
        <v>National Highway Expansion</v>
      </c>
      <c r="C769" t="s">
        <v>6</v>
      </c>
      <c r="D769" s="2">
        <v>234097</v>
      </c>
      <c r="E769">
        <v>127</v>
      </c>
      <c r="F769" t="s">
        <v>13</v>
      </c>
      <c r="G769" s="2">
        <f t="shared" si="33"/>
        <v>269211.55</v>
      </c>
      <c r="H769" s="1">
        <f t="shared" si="34"/>
        <v>129</v>
      </c>
    </row>
    <row r="770" spans="1:8">
      <c r="A770" s="1">
        <v>769</v>
      </c>
      <c r="B770" t="str">
        <f t="shared" si="35"/>
        <v>Metro Corridor Extension</v>
      </c>
      <c r="C770" t="s">
        <v>4</v>
      </c>
      <c r="D770" s="2">
        <v>224242</v>
      </c>
      <c r="E770">
        <v>138</v>
      </c>
      <c r="F770" t="s">
        <v>13</v>
      </c>
      <c r="G770" s="2">
        <f t="shared" ref="G770:G833" si="36">IF(C770="North",D770*1.15,D770*0.95)</f>
        <v>213029.9</v>
      </c>
      <c r="H770" s="1">
        <f t="shared" ref="H770:H833" si="37">IF(F770="Yes",E770+30,E770+2)</f>
        <v>140</v>
      </c>
    </row>
    <row r="771" spans="1:8">
      <c r="A771" s="1">
        <v>770</v>
      </c>
      <c r="B771" t="str">
        <f t="shared" ref="B771:B834" si="38">VLOOKUP(MOD(A771,6),$L$4:$M$9,2,FALSE)</f>
        <v>Smart Grid Substation</v>
      </c>
      <c r="C771" t="s">
        <v>8</v>
      </c>
      <c r="D771" s="2">
        <v>650591</v>
      </c>
      <c r="E771">
        <v>197</v>
      </c>
      <c r="F771" t="s">
        <v>13</v>
      </c>
      <c r="G771" s="2">
        <f t="shared" si="36"/>
        <v>618061.45</v>
      </c>
      <c r="H771" s="1">
        <f t="shared" si="37"/>
        <v>199</v>
      </c>
    </row>
    <row r="772" spans="1:8">
      <c r="A772" s="1">
        <v>771</v>
      </c>
      <c r="B772" t="str">
        <f t="shared" si="38"/>
        <v>Elevated Flyover Construction</v>
      </c>
      <c r="C772" t="s">
        <v>6</v>
      </c>
      <c r="D772" s="2">
        <v>565178</v>
      </c>
      <c r="E772">
        <v>216</v>
      </c>
      <c r="F772" t="s">
        <v>13</v>
      </c>
      <c r="G772" s="2">
        <f t="shared" si="36"/>
        <v>649954.7</v>
      </c>
      <c r="H772" s="1">
        <f t="shared" si="37"/>
        <v>218</v>
      </c>
    </row>
    <row r="773" spans="1:8">
      <c r="A773" s="1">
        <v>772</v>
      </c>
      <c r="B773" t="str">
        <f t="shared" si="38"/>
        <v>Solar Power Plant Setup</v>
      </c>
      <c r="C773" t="s">
        <v>7</v>
      </c>
      <c r="D773" s="2">
        <v>856449</v>
      </c>
      <c r="E773">
        <v>204</v>
      </c>
      <c r="F773" t="s">
        <v>13</v>
      </c>
      <c r="G773" s="2">
        <f t="shared" si="36"/>
        <v>813626.55</v>
      </c>
      <c r="H773" s="1">
        <f t="shared" si="37"/>
        <v>206</v>
      </c>
    </row>
    <row r="774" spans="1:8">
      <c r="A774" s="1">
        <v>773</v>
      </c>
      <c r="B774" t="str">
        <f t="shared" si="38"/>
        <v>Water Treatment Pipeline</v>
      </c>
      <c r="C774" t="s">
        <v>6</v>
      </c>
      <c r="D774" s="2">
        <v>620030</v>
      </c>
      <c r="E774">
        <v>226</v>
      </c>
      <c r="F774" t="s">
        <v>13</v>
      </c>
      <c r="G774" s="2">
        <f t="shared" si="36"/>
        <v>713034.5</v>
      </c>
      <c r="H774" s="1">
        <f t="shared" si="37"/>
        <v>228</v>
      </c>
    </row>
    <row r="775" spans="1:8">
      <c r="A775" s="1">
        <v>774</v>
      </c>
      <c r="B775" t="str">
        <f t="shared" si="38"/>
        <v>National Highway Expansion</v>
      </c>
      <c r="C775" t="s">
        <v>6</v>
      </c>
      <c r="D775" s="2">
        <v>169767</v>
      </c>
      <c r="E775">
        <v>188</v>
      </c>
      <c r="F775" t="s">
        <v>13</v>
      </c>
      <c r="G775" s="2">
        <f t="shared" si="36"/>
        <v>195232.05</v>
      </c>
      <c r="H775" s="1">
        <f t="shared" si="37"/>
        <v>190</v>
      </c>
    </row>
    <row r="776" spans="1:8">
      <c r="A776" s="1">
        <v>775</v>
      </c>
      <c r="B776" t="str">
        <f t="shared" si="38"/>
        <v>Metro Corridor Extension</v>
      </c>
      <c r="C776" t="s">
        <v>8</v>
      </c>
      <c r="D776" s="2">
        <v>159251</v>
      </c>
      <c r="E776">
        <v>134</v>
      </c>
      <c r="F776" t="s">
        <v>13</v>
      </c>
      <c r="G776" s="2">
        <f t="shared" si="36"/>
        <v>151288.45</v>
      </c>
      <c r="H776" s="1">
        <f t="shared" si="37"/>
        <v>136</v>
      </c>
    </row>
    <row r="777" spans="1:8">
      <c r="A777" s="1">
        <v>776</v>
      </c>
      <c r="B777" t="str">
        <f t="shared" si="38"/>
        <v>Smart Grid Substation</v>
      </c>
      <c r="C777" t="s">
        <v>4</v>
      </c>
      <c r="D777" s="2">
        <v>137243</v>
      </c>
      <c r="E777">
        <v>232</v>
      </c>
      <c r="F777" t="s">
        <v>13</v>
      </c>
      <c r="G777" s="2">
        <f t="shared" si="36"/>
        <v>130380.85</v>
      </c>
      <c r="H777" s="1">
        <f t="shared" si="37"/>
        <v>234</v>
      </c>
    </row>
    <row r="778" spans="1:8">
      <c r="A778" s="1">
        <v>777</v>
      </c>
      <c r="B778" t="str">
        <f t="shared" si="38"/>
        <v>Elevated Flyover Construction</v>
      </c>
      <c r="C778" t="s">
        <v>4</v>
      </c>
      <c r="D778" s="2">
        <v>868956</v>
      </c>
      <c r="E778">
        <v>147</v>
      </c>
      <c r="F778" t="s">
        <v>13</v>
      </c>
      <c r="G778" s="2">
        <f t="shared" si="36"/>
        <v>825508.2</v>
      </c>
      <c r="H778" s="1">
        <f t="shared" si="37"/>
        <v>149</v>
      </c>
    </row>
    <row r="779" spans="1:8">
      <c r="A779" s="1">
        <v>778</v>
      </c>
      <c r="B779" t="str">
        <f t="shared" si="38"/>
        <v>Solar Power Plant Setup</v>
      </c>
      <c r="C779" t="s">
        <v>8</v>
      </c>
      <c r="D779" s="2">
        <v>721740</v>
      </c>
      <c r="E779">
        <v>132</v>
      </c>
      <c r="F779" t="s">
        <v>13</v>
      </c>
      <c r="G779" s="2">
        <f t="shared" si="36"/>
        <v>685653</v>
      </c>
      <c r="H779" s="1">
        <f t="shared" si="37"/>
        <v>134</v>
      </c>
    </row>
    <row r="780" spans="1:8">
      <c r="A780" s="1">
        <v>779</v>
      </c>
      <c r="B780" t="str">
        <f t="shared" si="38"/>
        <v>Water Treatment Pipeline</v>
      </c>
      <c r="C780" t="s">
        <v>5</v>
      </c>
      <c r="D780" s="2">
        <v>413179</v>
      </c>
      <c r="E780">
        <v>194</v>
      </c>
      <c r="F780" t="s">
        <v>13</v>
      </c>
      <c r="G780" s="2">
        <f t="shared" si="36"/>
        <v>392520.05</v>
      </c>
      <c r="H780" s="1">
        <f t="shared" si="37"/>
        <v>196</v>
      </c>
    </row>
    <row r="781" spans="1:8">
      <c r="A781" s="1">
        <v>780</v>
      </c>
      <c r="B781" t="str">
        <f t="shared" si="38"/>
        <v>National Highway Expansion</v>
      </c>
      <c r="C781" t="s">
        <v>5</v>
      </c>
      <c r="D781" s="2">
        <v>400545</v>
      </c>
      <c r="E781">
        <v>142</v>
      </c>
      <c r="F781" t="s">
        <v>14</v>
      </c>
      <c r="G781" s="2">
        <f t="shared" si="36"/>
        <v>380517.75</v>
      </c>
      <c r="H781" s="1">
        <f t="shared" si="37"/>
        <v>172</v>
      </c>
    </row>
    <row r="782" spans="1:8">
      <c r="A782" s="1">
        <v>781</v>
      </c>
      <c r="B782" t="str">
        <f t="shared" si="38"/>
        <v>Metro Corridor Extension</v>
      </c>
      <c r="C782" t="s">
        <v>8</v>
      </c>
      <c r="D782" s="2">
        <v>441274</v>
      </c>
      <c r="E782">
        <v>111</v>
      </c>
      <c r="F782" t="s">
        <v>13</v>
      </c>
      <c r="G782" s="2">
        <f t="shared" si="36"/>
        <v>419210.3</v>
      </c>
      <c r="H782" s="1">
        <f t="shared" si="37"/>
        <v>113</v>
      </c>
    </row>
    <row r="783" spans="1:8">
      <c r="A783" s="1">
        <v>782</v>
      </c>
      <c r="B783" t="str">
        <f t="shared" si="38"/>
        <v>Smart Grid Substation</v>
      </c>
      <c r="C783" t="s">
        <v>7</v>
      </c>
      <c r="D783" s="2">
        <v>795739</v>
      </c>
      <c r="E783">
        <v>214</v>
      </c>
      <c r="F783" t="s">
        <v>13</v>
      </c>
      <c r="G783" s="2">
        <f t="shared" si="36"/>
        <v>755952.05</v>
      </c>
      <c r="H783" s="1">
        <f t="shared" si="37"/>
        <v>216</v>
      </c>
    </row>
    <row r="784" spans="1:8">
      <c r="A784" s="1">
        <v>783</v>
      </c>
      <c r="B784" t="str">
        <f t="shared" si="38"/>
        <v>Elevated Flyover Construction</v>
      </c>
      <c r="C784" t="s">
        <v>4</v>
      </c>
      <c r="D784" s="2">
        <v>693120</v>
      </c>
      <c r="E784">
        <v>98</v>
      </c>
      <c r="F784" t="s">
        <v>14</v>
      </c>
      <c r="G784" s="2">
        <f t="shared" si="36"/>
        <v>658464</v>
      </c>
      <c r="H784" s="1">
        <f t="shared" si="37"/>
        <v>128</v>
      </c>
    </row>
    <row r="785" spans="1:8">
      <c r="A785" s="1">
        <v>784</v>
      </c>
      <c r="B785" t="str">
        <f t="shared" si="38"/>
        <v>Solar Power Plant Setup</v>
      </c>
      <c r="C785" t="s">
        <v>6</v>
      </c>
      <c r="D785" s="2">
        <v>325630</v>
      </c>
      <c r="E785">
        <v>151</v>
      </c>
      <c r="F785" t="s">
        <v>13</v>
      </c>
      <c r="G785" s="2">
        <f t="shared" si="36"/>
        <v>374474.5</v>
      </c>
      <c r="H785" s="1">
        <f t="shared" si="37"/>
        <v>153</v>
      </c>
    </row>
    <row r="786" spans="1:8">
      <c r="A786" s="1">
        <v>785</v>
      </c>
      <c r="B786" t="str">
        <f t="shared" si="38"/>
        <v>Water Treatment Pipeline</v>
      </c>
      <c r="C786" t="s">
        <v>4</v>
      </c>
      <c r="D786" s="2">
        <v>205091</v>
      </c>
      <c r="E786">
        <v>232</v>
      </c>
      <c r="F786" t="s">
        <v>14</v>
      </c>
      <c r="G786" s="2">
        <f t="shared" si="36"/>
        <v>194836.45</v>
      </c>
      <c r="H786" s="1">
        <f t="shared" si="37"/>
        <v>262</v>
      </c>
    </row>
    <row r="787" spans="1:8">
      <c r="A787" s="1">
        <v>786</v>
      </c>
      <c r="B787" t="str">
        <f t="shared" si="38"/>
        <v>National Highway Expansion</v>
      </c>
      <c r="C787" t="s">
        <v>7</v>
      </c>
      <c r="D787" s="2">
        <v>212814</v>
      </c>
      <c r="E787">
        <v>99</v>
      </c>
      <c r="F787" t="s">
        <v>13</v>
      </c>
      <c r="G787" s="2">
        <f t="shared" si="36"/>
        <v>202173.3</v>
      </c>
      <c r="H787" s="1">
        <f t="shared" si="37"/>
        <v>101</v>
      </c>
    </row>
    <row r="788" spans="1:8">
      <c r="A788" s="1">
        <v>787</v>
      </c>
      <c r="B788" t="str">
        <f t="shared" si="38"/>
        <v>Metro Corridor Extension</v>
      </c>
      <c r="C788" t="s">
        <v>6</v>
      </c>
      <c r="D788" s="2">
        <v>649861</v>
      </c>
      <c r="E788">
        <v>210</v>
      </c>
      <c r="F788" t="s">
        <v>14</v>
      </c>
      <c r="G788" s="2">
        <f t="shared" si="36"/>
        <v>747340.15</v>
      </c>
      <c r="H788" s="1">
        <f t="shared" si="37"/>
        <v>240</v>
      </c>
    </row>
    <row r="789" spans="1:8">
      <c r="A789" s="1">
        <v>788</v>
      </c>
      <c r="B789" t="str">
        <f t="shared" si="38"/>
        <v>Smart Grid Substation</v>
      </c>
      <c r="C789" t="s">
        <v>4</v>
      </c>
      <c r="D789" s="2">
        <v>531307</v>
      </c>
      <c r="E789">
        <v>211</v>
      </c>
      <c r="F789" t="s">
        <v>14</v>
      </c>
      <c r="G789" s="2">
        <f t="shared" si="36"/>
        <v>504741.65</v>
      </c>
      <c r="H789" s="1">
        <f t="shared" si="37"/>
        <v>241</v>
      </c>
    </row>
    <row r="790" spans="1:8">
      <c r="A790" s="1">
        <v>789</v>
      </c>
      <c r="B790" t="str">
        <f t="shared" si="38"/>
        <v>Elevated Flyover Construction</v>
      </c>
      <c r="C790" t="s">
        <v>7</v>
      </c>
      <c r="D790" s="2">
        <v>848002</v>
      </c>
      <c r="E790">
        <v>223</v>
      </c>
      <c r="F790" t="s">
        <v>13</v>
      </c>
      <c r="G790" s="2">
        <f t="shared" si="36"/>
        <v>805601.9</v>
      </c>
      <c r="H790" s="1">
        <f t="shared" si="37"/>
        <v>225</v>
      </c>
    </row>
    <row r="791" spans="1:8">
      <c r="A791" s="1">
        <v>790</v>
      </c>
      <c r="B791" t="str">
        <f t="shared" si="38"/>
        <v>Solar Power Plant Setup</v>
      </c>
      <c r="C791" t="s">
        <v>7</v>
      </c>
      <c r="D791" s="2">
        <v>419884</v>
      </c>
      <c r="E791">
        <v>184</v>
      </c>
      <c r="F791" t="s">
        <v>13</v>
      </c>
      <c r="G791" s="2">
        <f t="shared" si="36"/>
        <v>398889.8</v>
      </c>
      <c r="H791" s="1">
        <f t="shared" si="37"/>
        <v>186</v>
      </c>
    </row>
    <row r="792" spans="1:8">
      <c r="A792" s="1">
        <v>791</v>
      </c>
      <c r="B792" t="str">
        <f t="shared" si="38"/>
        <v>Water Treatment Pipeline</v>
      </c>
      <c r="C792" t="s">
        <v>6</v>
      </c>
      <c r="D792" s="2">
        <v>233268</v>
      </c>
      <c r="E792">
        <v>102</v>
      </c>
      <c r="F792" t="s">
        <v>13</v>
      </c>
      <c r="G792" s="2">
        <f t="shared" si="36"/>
        <v>268258.2</v>
      </c>
      <c r="H792" s="1">
        <f t="shared" si="37"/>
        <v>104</v>
      </c>
    </row>
    <row r="793" spans="1:8">
      <c r="A793" s="1">
        <v>792</v>
      </c>
      <c r="B793" t="str">
        <f t="shared" si="38"/>
        <v>National Highway Expansion</v>
      </c>
      <c r="C793" t="s">
        <v>8</v>
      </c>
      <c r="D793" s="2">
        <v>400873</v>
      </c>
      <c r="E793">
        <v>131</v>
      </c>
      <c r="F793" t="s">
        <v>13</v>
      </c>
      <c r="G793" s="2">
        <f t="shared" si="36"/>
        <v>380829.35</v>
      </c>
      <c r="H793" s="1">
        <f t="shared" si="37"/>
        <v>133</v>
      </c>
    </row>
    <row r="794" spans="1:8">
      <c r="A794" s="1">
        <v>793</v>
      </c>
      <c r="B794" t="str">
        <f t="shared" si="38"/>
        <v>Metro Corridor Extension</v>
      </c>
      <c r="C794" t="s">
        <v>4</v>
      </c>
      <c r="D794" s="2">
        <v>698449</v>
      </c>
      <c r="E794">
        <v>120</v>
      </c>
      <c r="F794" t="s">
        <v>13</v>
      </c>
      <c r="G794" s="2">
        <f t="shared" si="36"/>
        <v>663526.55</v>
      </c>
      <c r="H794" s="1">
        <f t="shared" si="37"/>
        <v>122</v>
      </c>
    </row>
    <row r="795" spans="1:8">
      <c r="A795" s="1">
        <v>794</v>
      </c>
      <c r="B795" t="str">
        <f t="shared" si="38"/>
        <v>Smart Grid Substation</v>
      </c>
      <c r="C795" t="s">
        <v>7</v>
      </c>
      <c r="D795" s="2">
        <v>247173</v>
      </c>
      <c r="E795">
        <v>210</v>
      </c>
      <c r="F795" t="s">
        <v>13</v>
      </c>
      <c r="G795" s="2">
        <f t="shared" si="36"/>
        <v>234814.35</v>
      </c>
      <c r="H795" s="1">
        <f t="shared" si="37"/>
        <v>212</v>
      </c>
    </row>
    <row r="796" spans="1:8">
      <c r="A796" s="1">
        <v>795</v>
      </c>
      <c r="B796" t="str">
        <f t="shared" si="38"/>
        <v>Elevated Flyover Construction</v>
      </c>
      <c r="C796" t="s">
        <v>7</v>
      </c>
      <c r="D796" s="2">
        <v>592091</v>
      </c>
      <c r="E796">
        <v>188</v>
      </c>
      <c r="F796" t="s">
        <v>13</v>
      </c>
      <c r="G796" s="2">
        <f t="shared" si="36"/>
        <v>562486.45</v>
      </c>
      <c r="H796" s="1">
        <f t="shared" si="37"/>
        <v>190</v>
      </c>
    </row>
    <row r="797" spans="1:8">
      <c r="A797" s="1">
        <v>796</v>
      </c>
      <c r="B797" t="str">
        <f t="shared" si="38"/>
        <v>Solar Power Plant Setup</v>
      </c>
      <c r="C797" t="s">
        <v>6</v>
      </c>
      <c r="D797" s="2">
        <v>639135</v>
      </c>
      <c r="E797">
        <v>130</v>
      </c>
      <c r="F797" t="s">
        <v>13</v>
      </c>
      <c r="G797" s="2">
        <f t="shared" si="36"/>
        <v>735005.25</v>
      </c>
      <c r="H797" s="1">
        <f t="shared" si="37"/>
        <v>132</v>
      </c>
    </row>
    <row r="798" spans="1:8">
      <c r="A798" s="1">
        <v>797</v>
      </c>
      <c r="B798" t="str">
        <f t="shared" si="38"/>
        <v>Water Treatment Pipeline</v>
      </c>
      <c r="C798" t="s">
        <v>8</v>
      </c>
      <c r="D798" s="2">
        <v>740851</v>
      </c>
      <c r="E798">
        <v>177</v>
      </c>
      <c r="F798" t="s">
        <v>13</v>
      </c>
      <c r="G798" s="2">
        <f t="shared" si="36"/>
        <v>703808.45</v>
      </c>
      <c r="H798" s="1">
        <f t="shared" si="37"/>
        <v>179</v>
      </c>
    </row>
    <row r="799" spans="1:8">
      <c r="A799" s="1">
        <v>798</v>
      </c>
      <c r="B799" t="str">
        <f t="shared" si="38"/>
        <v>National Highway Expansion</v>
      </c>
      <c r="C799" t="s">
        <v>6</v>
      </c>
      <c r="D799" s="2">
        <v>107484</v>
      </c>
      <c r="E799">
        <v>182</v>
      </c>
      <c r="F799" t="s">
        <v>13</v>
      </c>
      <c r="G799" s="2">
        <f t="shared" si="36"/>
        <v>123606.6</v>
      </c>
      <c r="H799" s="1">
        <f t="shared" si="37"/>
        <v>184</v>
      </c>
    </row>
    <row r="800" spans="1:8">
      <c r="A800" s="1">
        <v>799</v>
      </c>
      <c r="B800" t="str">
        <f t="shared" si="38"/>
        <v>Metro Corridor Extension</v>
      </c>
      <c r="C800" t="s">
        <v>8</v>
      </c>
      <c r="D800" s="2">
        <v>233810</v>
      </c>
      <c r="E800">
        <v>155</v>
      </c>
      <c r="F800" t="s">
        <v>13</v>
      </c>
      <c r="G800" s="2">
        <f t="shared" si="36"/>
        <v>222119.5</v>
      </c>
      <c r="H800" s="1">
        <f t="shared" si="37"/>
        <v>157</v>
      </c>
    </row>
    <row r="801" spans="1:8">
      <c r="A801" s="1">
        <v>800</v>
      </c>
      <c r="B801" t="str">
        <f t="shared" si="38"/>
        <v>Smart Grid Substation</v>
      </c>
      <c r="C801" t="s">
        <v>6</v>
      </c>
      <c r="D801" s="2">
        <v>261931</v>
      </c>
      <c r="E801">
        <v>199</v>
      </c>
      <c r="F801" t="s">
        <v>13</v>
      </c>
      <c r="G801" s="2">
        <f t="shared" si="36"/>
        <v>301220.65</v>
      </c>
      <c r="H801" s="1">
        <f t="shared" si="37"/>
        <v>201</v>
      </c>
    </row>
    <row r="802" spans="1:8">
      <c r="A802" s="1">
        <v>801</v>
      </c>
      <c r="B802" t="str">
        <f t="shared" si="38"/>
        <v>Elevated Flyover Construction</v>
      </c>
      <c r="C802" t="s">
        <v>8</v>
      </c>
      <c r="D802" s="2">
        <v>262027</v>
      </c>
      <c r="E802">
        <v>172</v>
      </c>
      <c r="F802" t="s">
        <v>13</v>
      </c>
      <c r="G802" s="2">
        <f t="shared" si="36"/>
        <v>248925.65</v>
      </c>
      <c r="H802" s="1">
        <f t="shared" si="37"/>
        <v>174</v>
      </c>
    </row>
    <row r="803" spans="1:8">
      <c r="A803" s="1">
        <v>802</v>
      </c>
      <c r="B803" t="str">
        <f t="shared" si="38"/>
        <v>Solar Power Plant Setup</v>
      </c>
      <c r="C803" t="s">
        <v>8</v>
      </c>
      <c r="D803" s="2">
        <v>376255</v>
      </c>
      <c r="E803">
        <v>92</v>
      </c>
      <c r="F803" t="s">
        <v>13</v>
      </c>
      <c r="G803" s="2">
        <f t="shared" si="36"/>
        <v>357442.25</v>
      </c>
      <c r="H803" s="1">
        <f t="shared" si="37"/>
        <v>94</v>
      </c>
    </row>
    <row r="804" spans="1:8">
      <c r="A804" s="1">
        <v>803</v>
      </c>
      <c r="B804" t="str">
        <f t="shared" si="38"/>
        <v>Water Treatment Pipeline</v>
      </c>
      <c r="C804" t="s">
        <v>8</v>
      </c>
      <c r="D804" s="2">
        <v>771025</v>
      </c>
      <c r="E804">
        <v>200</v>
      </c>
      <c r="F804" t="s">
        <v>13</v>
      </c>
      <c r="G804" s="2">
        <f t="shared" si="36"/>
        <v>732473.75</v>
      </c>
      <c r="H804" s="1">
        <f t="shared" si="37"/>
        <v>202</v>
      </c>
    </row>
    <row r="805" spans="1:8">
      <c r="A805" s="1">
        <v>804</v>
      </c>
      <c r="B805" t="str">
        <f t="shared" si="38"/>
        <v>National Highway Expansion</v>
      </c>
      <c r="C805" t="s">
        <v>8</v>
      </c>
      <c r="D805" s="2">
        <v>837637</v>
      </c>
      <c r="E805">
        <v>232</v>
      </c>
      <c r="F805" t="s">
        <v>14</v>
      </c>
      <c r="G805" s="2">
        <f t="shared" si="36"/>
        <v>795755.15</v>
      </c>
      <c r="H805" s="1">
        <f t="shared" si="37"/>
        <v>262</v>
      </c>
    </row>
    <row r="806" spans="1:8">
      <c r="A806" s="1">
        <v>805</v>
      </c>
      <c r="B806" t="str">
        <f t="shared" si="38"/>
        <v>Metro Corridor Extension</v>
      </c>
      <c r="C806" t="s">
        <v>7</v>
      </c>
      <c r="D806" s="2">
        <v>841260</v>
      </c>
      <c r="E806">
        <v>135</v>
      </c>
      <c r="F806" t="s">
        <v>14</v>
      </c>
      <c r="G806" s="2">
        <f t="shared" si="36"/>
        <v>799197</v>
      </c>
      <c r="H806" s="1">
        <f t="shared" si="37"/>
        <v>165</v>
      </c>
    </row>
    <row r="807" spans="1:8">
      <c r="A807" s="1">
        <v>806</v>
      </c>
      <c r="B807" t="str">
        <f t="shared" si="38"/>
        <v>Smart Grid Substation</v>
      </c>
      <c r="C807" t="s">
        <v>7</v>
      </c>
      <c r="D807" s="2">
        <v>866295</v>
      </c>
      <c r="E807">
        <v>217</v>
      </c>
      <c r="F807" t="s">
        <v>14</v>
      </c>
      <c r="G807" s="2">
        <f t="shared" si="36"/>
        <v>822980.25</v>
      </c>
      <c r="H807" s="1">
        <f t="shared" si="37"/>
        <v>247</v>
      </c>
    </row>
    <row r="808" spans="1:8">
      <c r="A808" s="1">
        <v>807</v>
      </c>
      <c r="B808" t="str">
        <f t="shared" si="38"/>
        <v>Elevated Flyover Construction</v>
      </c>
      <c r="C808" t="s">
        <v>4</v>
      </c>
      <c r="D808" s="2">
        <v>853701</v>
      </c>
      <c r="E808">
        <v>111</v>
      </c>
      <c r="F808" t="s">
        <v>13</v>
      </c>
      <c r="G808" s="2">
        <f t="shared" si="36"/>
        <v>811015.95</v>
      </c>
      <c r="H808" s="1">
        <f t="shared" si="37"/>
        <v>113</v>
      </c>
    </row>
    <row r="809" spans="1:8">
      <c r="A809" s="1">
        <v>808</v>
      </c>
      <c r="B809" t="str">
        <f t="shared" si="38"/>
        <v>Solar Power Plant Setup</v>
      </c>
      <c r="C809" t="s">
        <v>5</v>
      </c>
      <c r="D809" s="2">
        <v>399262</v>
      </c>
      <c r="E809">
        <v>182</v>
      </c>
      <c r="F809" t="s">
        <v>14</v>
      </c>
      <c r="G809" s="2">
        <f t="shared" si="36"/>
        <v>379298.9</v>
      </c>
      <c r="H809" s="1">
        <f t="shared" si="37"/>
        <v>212</v>
      </c>
    </row>
    <row r="810" spans="1:8">
      <c r="A810" s="1">
        <v>809</v>
      </c>
      <c r="B810" t="str">
        <f t="shared" si="38"/>
        <v>Water Treatment Pipeline</v>
      </c>
      <c r="C810" t="s">
        <v>4</v>
      </c>
      <c r="D810" s="2">
        <v>531468</v>
      </c>
      <c r="E810">
        <v>166</v>
      </c>
      <c r="F810" t="s">
        <v>14</v>
      </c>
      <c r="G810" s="2">
        <f t="shared" si="36"/>
        <v>504894.6</v>
      </c>
      <c r="H810" s="1">
        <f t="shared" si="37"/>
        <v>196</v>
      </c>
    </row>
    <row r="811" spans="1:8">
      <c r="A811" s="1">
        <v>810</v>
      </c>
      <c r="B811" t="str">
        <f t="shared" si="38"/>
        <v>National Highway Expansion</v>
      </c>
      <c r="C811" t="s">
        <v>5</v>
      </c>
      <c r="D811" s="2">
        <v>822298</v>
      </c>
      <c r="E811">
        <v>149</v>
      </c>
      <c r="F811" t="s">
        <v>14</v>
      </c>
      <c r="G811" s="2">
        <f t="shared" si="36"/>
        <v>781183.1</v>
      </c>
      <c r="H811" s="1">
        <f t="shared" si="37"/>
        <v>179</v>
      </c>
    </row>
    <row r="812" spans="1:8">
      <c r="A812" s="1">
        <v>811</v>
      </c>
      <c r="B812" t="str">
        <f t="shared" si="38"/>
        <v>Metro Corridor Extension</v>
      </c>
      <c r="C812" t="s">
        <v>7</v>
      </c>
      <c r="D812" s="2">
        <v>611300</v>
      </c>
      <c r="E812">
        <v>97</v>
      </c>
      <c r="F812" t="s">
        <v>13</v>
      </c>
      <c r="G812" s="2">
        <f t="shared" si="36"/>
        <v>580735</v>
      </c>
      <c r="H812" s="1">
        <f t="shared" si="37"/>
        <v>99</v>
      </c>
    </row>
    <row r="813" spans="1:8">
      <c r="A813" s="1">
        <v>812</v>
      </c>
      <c r="B813" t="str">
        <f t="shared" si="38"/>
        <v>Smart Grid Substation</v>
      </c>
      <c r="C813" t="s">
        <v>6</v>
      </c>
      <c r="D813" s="2">
        <v>757277</v>
      </c>
      <c r="E813">
        <v>205</v>
      </c>
      <c r="F813" t="s">
        <v>14</v>
      </c>
      <c r="G813" s="2">
        <f t="shared" si="36"/>
        <v>870868.55</v>
      </c>
      <c r="H813" s="1">
        <f t="shared" si="37"/>
        <v>235</v>
      </c>
    </row>
    <row r="814" spans="1:8">
      <c r="A814" s="1">
        <v>813</v>
      </c>
      <c r="B814" t="str">
        <f t="shared" si="38"/>
        <v>Elevated Flyover Construction</v>
      </c>
      <c r="C814" t="s">
        <v>4</v>
      </c>
      <c r="D814" s="2">
        <v>618318</v>
      </c>
      <c r="E814">
        <v>191</v>
      </c>
      <c r="F814" t="s">
        <v>14</v>
      </c>
      <c r="G814" s="2">
        <f t="shared" si="36"/>
        <v>587402.1</v>
      </c>
      <c r="H814" s="1">
        <f t="shared" si="37"/>
        <v>221</v>
      </c>
    </row>
    <row r="815" spans="1:8">
      <c r="A815" s="1">
        <v>814</v>
      </c>
      <c r="B815" t="str">
        <f t="shared" si="38"/>
        <v>Solar Power Plant Setup</v>
      </c>
      <c r="C815" t="s">
        <v>7</v>
      </c>
      <c r="D815" s="2">
        <v>310926</v>
      </c>
      <c r="E815">
        <v>215</v>
      </c>
      <c r="F815" t="s">
        <v>14</v>
      </c>
      <c r="G815" s="2">
        <f t="shared" si="36"/>
        <v>295379.7</v>
      </c>
      <c r="H815" s="1">
        <f t="shared" si="37"/>
        <v>245</v>
      </c>
    </row>
    <row r="816" spans="1:8">
      <c r="A816" s="1">
        <v>815</v>
      </c>
      <c r="B816" t="str">
        <f t="shared" si="38"/>
        <v>Water Treatment Pipeline</v>
      </c>
      <c r="C816" t="s">
        <v>4</v>
      </c>
      <c r="D816" s="2">
        <v>488740</v>
      </c>
      <c r="E816">
        <v>155</v>
      </c>
      <c r="F816" t="s">
        <v>14</v>
      </c>
      <c r="G816" s="2">
        <f t="shared" si="36"/>
        <v>464303</v>
      </c>
      <c r="H816" s="1">
        <f t="shared" si="37"/>
        <v>185</v>
      </c>
    </row>
    <row r="817" spans="1:8">
      <c r="A817" s="1">
        <v>816</v>
      </c>
      <c r="B817" t="str">
        <f t="shared" si="38"/>
        <v>National Highway Expansion</v>
      </c>
      <c r="C817" t="s">
        <v>7</v>
      </c>
      <c r="D817" s="2">
        <v>563604</v>
      </c>
      <c r="E817">
        <v>238</v>
      </c>
      <c r="F817" t="s">
        <v>14</v>
      </c>
      <c r="G817" s="2">
        <f t="shared" si="36"/>
        <v>535423.8</v>
      </c>
      <c r="H817" s="1">
        <f t="shared" si="37"/>
        <v>268</v>
      </c>
    </row>
    <row r="818" spans="1:8">
      <c r="A818" s="1">
        <v>817</v>
      </c>
      <c r="B818" t="str">
        <f t="shared" si="38"/>
        <v>Metro Corridor Extension</v>
      </c>
      <c r="C818" t="s">
        <v>6</v>
      </c>
      <c r="D818" s="2">
        <v>458617</v>
      </c>
      <c r="E818">
        <v>158</v>
      </c>
      <c r="F818" t="s">
        <v>14</v>
      </c>
      <c r="G818" s="2">
        <f t="shared" si="36"/>
        <v>527409.55</v>
      </c>
      <c r="H818" s="1">
        <f t="shared" si="37"/>
        <v>188</v>
      </c>
    </row>
    <row r="819" spans="1:8">
      <c r="A819" s="1">
        <v>818</v>
      </c>
      <c r="B819" t="str">
        <f t="shared" si="38"/>
        <v>Smart Grid Substation</v>
      </c>
      <c r="C819" t="s">
        <v>5</v>
      </c>
      <c r="D819" s="2">
        <v>286866</v>
      </c>
      <c r="E819">
        <v>98</v>
      </c>
      <c r="F819" t="s">
        <v>14</v>
      </c>
      <c r="G819" s="2">
        <f t="shared" si="36"/>
        <v>272522.7</v>
      </c>
      <c r="H819" s="1">
        <f t="shared" si="37"/>
        <v>128</v>
      </c>
    </row>
    <row r="820" spans="1:8">
      <c r="A820" s="1">
        <v>819</v>
      </c>
      <c r="B820" t="str">
        <f t="shared" si="38"/>
        <v>Elevated Flyover Construction</v>
      </c>
      <c r="C820" t="s">
        <v>4</v>
      </c>
      <c r="D820" s="2">
        <v>451884</v>
      </c>
      <c r="E820">
        <v>161</v>
      </c>
      <c r="F820" t="s">
        <v>13</v>
      </c>
      <c r="G820" s="2">
        <f t="shared" si="36"/>
        <v>429289.8</v>
      </c>
      <c r="H820" s="1">
        <f t="shared" si="37"/>
        <v>163</v>
      </c>
    </row>
    <row r="821" spans="1:8">
      <c r="A821" s="1">
        <v>820</v>
      </c>
      <c r="B821" t="str">
        <f t="shared" si="38"/>
        <v>Solar Power Plant Setup</v>
      </c>
      <c r="C821" t="s">
        <v>7</v>
      </c>
      <c r="D821" s="2">
        <v>188757</v>
      </c>
      <c r="E821">
        <v>211</v>
      </c>
      <c r="F821" t="s">
        <v>13</v>
      </c>
      <c r="G821" s="2">
        <f t="shared" si="36"/>
        <v>179319.15</v>
      </c>
      <c r="H821" s="1">
        <f t="shared" si="37"/>
        <v>213</v>
      </c>
    </row>
    <row r="822" spans="1:8">
      <c r="A822" s="1">
        <v>821</v>
      </c>
      <c r="B822" t="str">
        <f t="shared" si="38"/>
        <v>Water Treatment Pipeline</v>
      </c>
      <c r="C822" t="s">
        <v>6</v>
      </c>
      <c r="D822" s="2">
        <v>586067</v>
      </c>
      <c r="E822">
        <v>196</v>
      </c>
      <c r="F822" t="s">
        <v>13</v>
      </c>
      <c r="G822" s="2">
        <f t="shared" si="36"/>
        <v>673977.05</v>
      </c>
      <c r="H822" s="1">
        <f t="shared" si="37"/>
        <v>198</v>
      </c>
    </row>
    <row r="823" spans="1:8">
      <c r="A823" s="1">
        <v>822</v>
      </c>
      <c r="B823" t="str">
        <f t="shared" si="38"/>
        <v>National Highway Expansion</v>
      </c>
      <c r="C823" t="s">
        <v>4</v>
      </c>
      <c r="D823" s="2">
        <v>230519</v>
      </c>
      <c r="E823">
        <v>96</v>
      </c>
      <c r="F823" t="s">
        <v>14</v>
      </c>
      <c r="G823" s="2">
        <f t="shared" si="36"/>
        <v>218993.05</v>
      </c>
      <c r="H823" s="1">
        <f t="shared" si="37"/>
        <v>126</v>
      </c>
    </row>
    <row r="824" spans="1:8">
      <c r="A824" s="1">
        <v>823</v>
      </c>
      <c r="B824" t="str">
        <f t="shared" si="38"/>
        <v>Metro Corridor Extension</v>
      </c>
      <c r="C824" t="s">
        <v>4</v>
      </c>
      <c r="D824" s="2">
        <v>380977</v>
      </c>
      <c r="E824">
        <v>126</v>
      </c>
      <c r="F824" t="s">
        <v>13</v>
      </c>
      <c r="G824" s="2">
        <f t="shared" si="36"/>
        <v>361928.15</v>
      </c>
      <c r="H824" s="1">
        <f t="shared" si="37"/>
        <v>128</v>
      </c>
    </row>
    <row r="825" spans="1:8">
      <c r="A825" s="1">
        <v>824</v>
      </c>
      <c r="B825" t="str">
        <f t="shared" si="38"/>
        <v>Smart Grid Substation</v>
      </c>
      <c r="C825" t="s">
        <v>6</v>
      </c>
      <c r="D825" s="2">
        <v>491060</v>
      </c>
      <c r="E825">
        <v>217</v>
      </c>
      <c r="F825" t="s">
        <v>13</v>
      </c>
      <c r="G825" s="2">
        <f t="shared" si="36"/>
        <v>564719</v>
      </c>
      <c r="H825" s="1">
        <f t="shared" si="37"/>
        <v>219</v>
      </c>
    </row>
    <row r="826" spans="1:8">
      <c r="A826" s="1">
        <v>825</v>
      </c>
      <c r="B826" t="str">
        <f t="shared" si="38"/>
        <v>Elevated Flyover Construction</v>
      </c>
      <c r="C826" t="s">
        <v>8</v>
      </c>
      <c r="D826" s="2">
        <v>169161</v>
      </c>
      <c r="E826">
        <v>128</v>
      </c>
      <c r="F826" t="s">
        <v>13</v>
      </c>
      <c r="G826" s="2">
        <f t="shared" si="36"/>
        <v>160702.95</v>
      </c>
      <c r="H826" s="1">
        <f t="shared" si="37"/>
        <v>130</v>
      </c>
    </row>
    <row r="827" spans="1:8">
      <c r="A827" s="1">
        <v>826</v>
      </c>
      <c r="B827" t="str">
        <f t="shared" si="38"/>
        <v>Solar Power Plant Setup</v>
      </c>
      <c r="C827" t="s">
        <v>6</v>
      </c>
      <c r="D827" s="2">
        <v>809834</v>
      </c>
      <c r="E827">
        <v>229</v>
      </c>
      <c r="F827" t="s">
        <v>14</v>
      </c>
      <c r="G827" s="2">
        <f t="shared" si="36"/>
        <v>931309.1</v>
      </c>
      <c r="H827" s="1">
        <f t="shared" si="37"/>
        <v>259</v>
      </c>
    </row>
    <row r="828" spans="1:8">
      <c r="A828" s="1">
        <v>827</v>
      </c>
      <c r="B828" t="str">
        <f t="shared" si="38"/>
        <v>Water Treatment Pipeline</v>
      </c>
      <c r="C828" t="s">
        <v>4</v>
      </c>
      <c r="D828" s="2">
        <v>706101</v>
      </c>
      <c r="E828">
        <v>240</v>
      </c>
      <c r="F828" t="s">
        <v>14</v>
      </c>
      <c r="G828" s="2">
        <f t="shared" si="36"/>
        <v>670795.95</v>
      </c>
      <c r="H828" s="1">
        <f t="shared" si="37"/>
        <v>270</v>
      </c>
    </row>
    <row r="829" spans="1:8">
      <c r="A829" s="1">
        <v>828</v>
      </c>
      <c r="B829" t="str">
        <f t="shared" si="38"/>
        <v>National Highway Expansion</v>
      </c>
      <c r="C829" t="s">
        <v>6</v>
      </c>
      <c r="D829" s="2">
        <v>850088</v>
      </c>
      <c r="E829">
        <v>114</v>
      </c>
      <c r="F829" t="s">
        <v>13</v>
      </c>
      <c r="G829" s="2">
        <f t="shared" si="36"/>
        <v>977601.2</v>
      </c>
      <c r="H829" s="1">
        <f t="shared" si="37"/>
        <v>116</v>
      </c>
    </row>
    <row r="830" spans="1:8">
      <c r="A830" s="1">
        <v>829</v>
      </c>
      <c r="B830" t="str">
        <f t="shared" si="38"/>
        <v>Metro Corridor Extension</v>
      </c>
      <c r="C830" t="s">
        <v>4</v>
      </c>
      <c r="D830" s="2">
        <v>552854</v>
      </c>
      <c r="E830">
        <v>173</v>
      </c>
      <c r="F830" t="s">
        <v>13</v>
      </c>
      <c r="G830" s="2">
        <f t="shared" si="36"/>
        <v>525211.3</v>
      </c>
      <c r="H830" s="1">
        <f t="shared" si="37"/>
        <v>175</v>
      </c>
    </row>
    <row r="831" spans="1:8">
      <c r="A831" s="1">
        <v>830</v>
      </c>
      <c r="B831" t="str">
        <f t="shared" si="38"/>
        <v>Smart Grid Substation</v>
      </c>
      <c r="C831" t="s">
        <v>6</v>
      </c>
      <c r="D831" s="2">
        <v>212922</v>
      </c>
      <c r="E831">
        <v>197</v>
      </c>
      <c r="F831" t="s">
        <v>13</v>
      </c>
      <c r="G831" s="2">
        <f t="shared" si="36"/>
        <v>244860.3</v>
      </c>
      <c r="H831" s="1">
        <f t="shared" si="37"/>
        <v>199</v>
      </c>
    </row>
    <row r="832" spans="1:8">
      <c r="A832" s="1">
        <v>831</v>
      </c>
      <c r="B832" t="str">
        <f t="shared" si="38"/>
        <v>Elevated Flyover Construction</v>
      </c>
      <c r="C832" t="s">
        <v>4</v>
      </c>
      <c r="D832" s="2">
        <v>318984</v>
      </c>
      <c r="E832">
        <v>119</v>
      </c>
      <c r="F832" t="s">
        <v>14</v>
      </c>
      <c r="G832" s="2">
        <f t="shared" si="36"/>
        <v>303034.8</v>
      </c>
      <c r="H832" s="1">
        <f t="shared" si="37"/>
        <v>149</v>
      </c>
    </row>
    <row r="833" spans="1:8">
      <c r="A833" s="1">
        <v>832</v>
      </c>
      <c r="B833" t="str">
        <f t="shared" si="38"/>
        <v>Solar Power Plant Setup</v>
      </c>
      <c r="C833" t="s">
        <v>4</v>
      </c>
      <c r="D833" s="2">
        <v>498330</v>
      </c>
      <c r="E833">
        <v>119</v>
      </c>
      <c r="F833" t="s">
        <v>14</v>
      </c>
      <c r="G833" s="2">
        <f t="shared" si="36"/>
        <v>473413.5</v>
      </c>
      <c r="H833" s="1">
        <f t="shared" si="37"/>
        <v>149</v>
      </c>
    </row>
    <row r="834" spans="1:8">
      <c r="A834" s="1">
        <v>833</v>
      </c>
      <c r="B834" t="str">
        <f t="shared" si="38"/>
        <v>Water Treatment Pipeline</v>
      </c>
      <c r="C834" t="s">
        <v>4</v>
      </c>
      <c r="D834" s="2">
        <v>892303</v>
      </c>
      <c r="E834">
        <v>232</v>
      </c>
      <c r="F834" t="s">
        <v>14</v>
      </c>
      <c r="G834" s="2">
        <f t="shared" ref="G834:G897" si="39">IF(C834="North",D834*1.15,D834*0.95)</f>
        <v>847687.85</v>
      </c>
      <c r="H834" s="1">
        <f t="shared" ref="H834:H897" si="40">IF(F834="Yes",E834+30,E834+2)</f>
        <v>262</v>
      </c>
    </row>
    <row r="835" spans="1:8">
      <c r="A835" s="1">
        <v>834</v>
      </c>
      <c r="B835" t="str">
        <f t="shared" ref="B835:B898" si="41">VLOOKUP(MOD(A835,6),$L$4:$M$9,2,FALSE)</f>
        <v>National Highway Expansion</v>
      </c>
      <c r="C835" t="s">
        <v>7</v>
      </c>
      <c r="D835" s="2">
        <v>608724</v>
      </c>
      <c r="E835">
        <v>192</v>
      </c>
      <c r="F835" t="s">
        <v>13</v>
      </c>
      <c r="G835" s="2">
        <f t="shared" si="39"/>
        <v>578287.8</v>
      </c>
      <c r="H835" s="1">
        <f t="shared" si="40"/>
        <v>194</v>
      </c>
    </row>
    <row r="836" spans="1:8">
      <c r="A836" s="1">
        <v>835</v>
      </c>
      <c r="B836" t="str">
        <f t="shared" si="41"/>
        <v>Metro Corridor Extension</v>
      </c>
      <c r="C836" t="s">
        <v>6</v>
      </c>
      <c r="D836" s="2">
        <v>724198</v>
      </c>
      <c r="E836">
        <v>197</v>
      </c>
      <c r="F836" t="s">
        <v>14</v>
      </c>
      <c r="G836" s="2">
        <f t="shared" si="39"/>
        <v>832827.7</v>
      </c>
      <c r="H836" s="1">
        <f t="shared" si="40"/>
        <v>227</v>
      </c>
    </row>
    <row r="837" spans="1:8">
      <c r="A837" s="1">
        <v>836</v>
      </c>
      <c r="B837" t="str">
        <f t="shared" si="41"/>
        <v>Smart Grid Substation</v>
      </c>
      <c r="C837" t="s">
        <v>4</v>
      </c>
      <c r="D837" s="2">
        <v>187046</v>
      </c>
      <c r="E837">
        <v>222</v>
      </c>
      <c r="F837" t="s">
        <v>14</v>
      </c>
      <c r="G837" s="2">
        <f t="shared" si="39"/>
        <v>177693.7</v>
      </c>
      <c r="H837" s="1">
        <f t="shared" si="40"/>
        <v>252</v>
      </c>
    </row>
    <row r="838" spans="1:8">
      <c r="A838" s="1">
        <v>837</v>
      </c>
      <c r="B838" t="str">
        <f t="shared" si="41"/>
        <v>Elevated Flyover Construction</v>
      </c>
      <c r="C838" t="s">
        <v>7</v>
      </c>
      <c r="D838" s="2">
        <v>235156</v>
      </c>
      <c r="E838">
        <v>141</v>
      </c>
      <c r="F838" t="s">
        <v>13</v>
      </c>
      <c r="G838" s="2">
        <f t="shared" si="39"/>
        <v>223398.2</v>
      </c>
      <c r="H838" s="1">
        <f t="shared" si="40"/>
        <v>143</v>
      </c>
    </row>
    <row r="839" spans="1:8">
      <c r="A839" s="1">
        <v>838</v>
      </c>
      <c r="B839" t="str">
        <f t="shared" si="41"/>
        <v>Solar Power Plant Setup</v>
      </c>
      <c r="C839" t="s">
        <v>4</v>
      </c>
      <c r="D839" s="2">
        <v>772005</v>
      </c>
      <c r="E839">
        <v>180</v>
      </c>
      <c r="F839" t="s">
        <v>13</v>
      </c>
      <c r="G839" s="2">
        <f t="shared" si="39"/>
        <v>733404.75</v>
      </c>
      <c r="H839" s="1">
        <f t="shared" si="40"/>
        <v>182</v>
      </c>
    </row>
    <row r="840" spans="1:8">
      <c r="A840" s="1">
        <v>839</v>
      </c>
      <c r="B840" t="str">
        <f t="shared" si="41"/>
        <v>Water Treatment Pipeline</v>
      </c>
      <c r="C840" t="s">
        <v>8</v>
      </c>
      <c r="D840" s="2">
        <v>290106</v>
      </c>
      <c r="E840">
        <v>167</v>
      </c>
      <c r="F840" t="s">
        <v>13</v>
      </c>
      <c r="G840" s="2">
        <f t="shared" si="39"/>
        <v>275600.7</v>
      </c>
      <c r="H840" s="1">
        <f t="shared" si="40"/>
        <v>169</v>
      </c>
    </row>
    <row r="841" spans="1:8">
      <c r="A841" s="1">
        <v>840</v>
      </c>
      <c r="B841" t="str">
        <f t="shared" si="41"/>
        <v>National Highway Expansion</v>
      </c>
      <c r="C841" t="s">
        <v>8</v>
      </c>
      <c r="D841" s="2">
        <v>490545</v>
      </c>
      <c r="E841">
        <v>193</v>
      </c>
      <c r="F841" t="s">
        <v>14</v>
      </c>
      <c r="G841" s="2">
        <f t="shared" si="39"/>
        <v>466017.75</v>
      </c>
      <c r="H841" s="1">
        <f t="shared" si="40"/>
        <v>223</v>
      </c>
    </row>
    <row r="842" spans="1:8">
      <c r="A842" s="1">
        <v>841</v>
      </c>
      <c r="B842" t="str">
        <f t="shared" si="41"/>
        <v>Metro Corridor Extension</v>
      </c>
      <c r="C842" t="s">
        <v>4</v>
      </c>
      <c r="D842" s="2">
        <v>741272</v>
      </c>
      <c r="E842">
        <v>129</v>
      </c>
      <c r="F842" t="s">
        <v>14</v>
      </c>
      <c r="G842" s="2">
        <f t="shared" si="39"/>
        <v>704208.4</v>
      </c>
      <c r="H842" s="1">
        <f t="shared" si="40"/>
        <v>159</v>
      </c>
    </row>
    <row r="843" spans="1:8">
      <c r="A843" s="1">
        <v>842</v>
      </c>
      <c r="B843" t="str">
        <f t="shared" si="41"/>
        <v>Smart Grid Substation</v>
      </c>
      <c r="C843" t="s">
        <v>6</v>
      </c>
      <c r="D843" s="2">
        <v>229025</v>
      </c>
      <c r="E843">
        <v>150</v>
      </c>
      <c r="F843" t="s">
        <v>14</v>
      </c>
      <c r="G843" s="2">
        <f t="shared" si="39"/>
        <v>263378.75</v>
      </c>
      <c r="H843" s="1">
        <f t="shared" si="40"/>
        <v>180</v>
      </c>
    </row>
    <row r="844" spans="1:8">
      <c r="A844" s="1">
        <v>843</v>
      </c>
      <c r="B844" t="str">
        <f t="shared" si="41"/>
        <v>Elevated Flyover Construction</v>
      </c>
      <c r="C844" t="s">
        <v>7</v>
      </c>
      <c r="D844" s="2">
        <v>580411</v>
      </c>
      <c r="E844">
        <v>156</v>
      </c>
      <c r="F844" t="s">
        <v>13</v>
      </c>
      <c r="G844" s="2">
        <f t="shared" si="39"/>
        <v>551390.45</v>
      </c>
      <c r="H844" s="1">
        <f t="shared" si="40"/>
        <v>158</v>
      </c>
    </row>
    <row r="845" spans="1:8">
      <c r="A845" s="1">
        <v>844</v>
      </c>
      <c r="B845" t="str">
        <f t="shared" si="41"/>
        <v>Solar Power Plant Setup</v>
      </c>
      <c r="C845" t="s">
        <v>7</v>
      </c>
      <c r="D845" s="2">
        <v>896219</v>
      </c>
      <c r="E845">
        <v>176</v>
      </c>
      <c r="F845" t="s">
        <v>13</v>
      </c>
      <c r="G845" s="2">
        <f t="shared" si="39"/>
        <v>851408.05</v>
      </c>
      <c r="H845" s="1">
        <f t="shared" si="40"/>
        <v>178</v>
      </c>
    </row>
    <row r="846" spans="1:8">
      <c r="A846" s="1">
        <v>845</v>
      </c>
      <c r="B846" t="str">
        <f t="shared" si="41"/>
        <v>Water Treatment Pipeline</v>
      </c>
      <c r="C846" t="s">
        <v>8</v>
      </c>
      <c r="D846" s="2">
        <v>867646</v>
      </c>
      <c r="E846">
        <v>144</v>
      </c>
      <c r="F846" t="s">
        <v>13</v>
      </c>
      <c r="G846" s="2">
        <f t="shared" si="39"/>
        <v>824263.7</v>
      </c>
      <c r="H846" s="1">
        <f t="shared" si="40"/>
        <v>146</v>
      </c>
    </row>
    <row r="847" spans="1:8">
      <c r="A847" s="1">
        <v>846</v>
      </c>
      <c r="B847" t="str">
        <f t="shared" si="41"/>
        <v>National Highway Expansion</v>
      </c>
      <c r="C847" t="s">
        <v>6</v>
      </c>
      <c r="D847" s="2">
        <v>409913</v>
      </c>
      <c r="E847">
        <v>179</v>
      </c>
      <c r="F847" t="s">
        <v>14</v>
      </c>
      <c r="G847" s="2">
        <f t="shared" si="39"/>
        <v>471399.95</v>
      </c>
      <c r="H847" s="1">
        <f t="shared" si="40"/>
        <v>209</v>
      </c>
    </row>
    <row r="848" spans="1:8">
      <c r="A848" s="1">
        <v>847</v>
      </c>
      <c r="B848" t="str">
        <f t="shared" si="41"/>
        <v>Metro Corridor Extension</v>
      </c>
      <c r="C848" t="s">
        <v>4</v>
      </c>
      <c r="D848" s="2">
        <v>756530</v>
      </c>
      <c r="E848">
        <v>212</v>
      </c>
      <c r="F848" t="s">
        <v>14</v>
      </c>
      <c r="G848" s="2">
        <f t="shared" si="39"/>
        <v>718703.5</v>
      </c>
      <c r="H848" s="1">
        <f t="shared" si="40"/>
        <v>242</v>
      </c>
    </row>
    <row r="849" spans="1:8">
      <c r="A849" s="1">
        <v>848</v>
      </c>
      <c r="B849" t="str">
        <f t="shared" si="41"/>
        <v>Smart Grid Substation</v>
      </c>
      <c r="C849" t="s">
        <v>6</v>
      </c>
      <c r="D849" s="2">
        <v>505587</v>
      </c>
      <c r="E849">
        <v>96</v>
      </c>
      <c r="F849" t="s">
        <v>14</v>
      </c>
      <c r="G849" s="2">
        <f t="shared" si="39"/>
        <v>581425.05</v>
      </c>
      <c r="H849" s="1">
        <f t="shared" si="40"/>
        <v>126</v>
      </c>
    </row>
    <row r="850" spans="1:8">
      <c r="A850" s="1">
        <v>849</v>
      </c>
      <c r="B850" t="str">
        <f t="shared" si="41"/>
        <v>Elevated Flyover Construction</v>
      </c>
      <c r="C850" t="s">
        <v>6</v>
      </c>
      <c r="D850" s="2">
        <v>388275</v>
      </c>
      <c r="E850">
        <v>202</v>
      </c>
      <c r="F850" t="s">
        <v>13</v>
      </c>
      <c r="G850" s="2">
        <f t="shared" si="39"/>
        <v>446516.25</v>
      </c>
      <c r="H850" s="1">
        <f t="shared" si="40"/>
        <v>204</v>
      </c>
    </row>
    <row r="851" spans="1:8">
      <c r="A851" s="1">
        <v>850</v>
      </c>
      <c r="B851" t="str">
        <f t="shared" si="41"/>
        <v>Solar Power Plant Setup</v>
      </c>
      <c r="C851" t="s">
        <v>4</v>
      </c>
      <c r="D851" s="2">
        <v>322106</v>
      </c>
      <c r="E851">
        <v>173</v>
      </c>
      <c r="F851" t="s">
        <v>14</v>
      </c>
      <c r="G851" s="2">
        <f t="shared" si="39"/>
        <v>306000.7</v>
      </c>
      <c r="H851" s="1">
        <f t="shared" si="40"/>
        <v>203</v>
      </c>
    </row>
    <row r="852" spans="1:8">
      <c r="A852" s="1">
        <v>851</v>
      </c>
      <c r="B852" t="str">
        <f t="shared" si="41"/>
        <v>Water Treatment Pipeline</v>
      </c>
      <c r="C852" t="s">
        <v>6</v>
      </c>
      <c r="D852" s="2">
        <v>795188</v>
      </c>
      <c r="E852">
        <v>157</v>
      </c>
      <c r="F852" t="s">
        <v>13</v>
      </c>
      <c r="G852" s="2">
        <f t="shared" si="39"/>
        <v>914466.2</v>
      </c>
      <c r="H852" s="1">
        <f t="shared" si="40"/>
        <v>159</v>
      </c>
    </row>
    <row r="853" spans="1:8">
      <c r="A853" s="1">
        <v>852</v>
      </c>
      <c r="B853" t="str">
        <f t="shared" si="41"/>
        <v>National Highway Expansion</v>
      </c>
      <c r="C853" t="s">
        <v>6</v>
      </c>
      <c r="D853" s="2">
        <v>829851</v>
      </c>
      <c r="E853">
        <v>111</v>
      </c>
      <c r="F853" t="s">
        <v>14</v>
      </c>
      <c r="G853" s="2">
        <f t="shared" si="39"/>
        <v>954328.65</v>
      </c>
      <c r="H853" s="1">
        <f t="shared" si="40"/>
        <v>141</v>
      </c>
    </row>
    <row r="854" spans="1:8">
      <c r="A854" s="1">
        <v>853</v>
      </c>
      <c r="B854" t="str">
        <f t="shared" si="41"/>
        <v>Metro Corridor Extension</v>
      </c>
      <c r="C854" t="s">
        <v>6</v>
      </c>
      <c r="D854" s="2">
        <v>439048</v>
      </c>
      <c r="E854">
        <v>208</v>
      </c>
      <c r="F854" t="s">
        <v>13</v>
      </c>
      <c r="G854" s="2">
        <f t="shared" si="39"/>
        <v>504905.2</v>
      </c>
      <c r="H854" s="1">
        <f t="shared" si="40"/>
        <v>210</v>
      </c>
    </row>
    <row r="855" spans="1:8">
      <c r="A855" s="1">
        <v>854</v>
      </c>
      <c r="B855" t="str">
        <f t="shared" si="41"/>
        <v>Smart Grid Substation</v>
      </c>
      <c r="C855" t="s">
        <v>4</v>
      </c>
      <c r="D855" s="2">
        <v>847658</v>
      </c>
      <c r="E855">
        <v>207</v>
      </c>
      <c r="F855" t="s">
        <v>14</v>
      </c>
      <c r="G855" s="2">
        <f t="shared" si="39"/>
        <v>805275.1</v>
      </c>
      <c r="H855" s="1">
        <f t="shared" si="40"/>
        <v>237</v>
      </c>
    </row>
    <row r="856" spans="1:8">
      <c r="A856" s="1">
        <v>855</v>
      </c>
      <c r="B856" t="str">
        <f t="shared" si="41"/>
        <v>Elevated Flyover Construction</v>
      </c>
      <c r="C856" t="s">
        <v>5</v>
      </c>
      <c r="D856" s="2">
        <v>234574</v>
      </c>
      <c r="E856">
        <v>132</v>
      </c>
      <c r="F856" t="s">
        <v>14</v>
      </c>
      <c r="G856" s="2">
        <f t="shared" si="39"/>
        <v>222845.3</v>
      </c>
      <c r="H856" s="1">
        <f t="shared" si="40"/>
        <v>162</v>
      </c>
    </row>
    <row r="857" spans="1:8">
      <c r="A857" s="1">
        <v>856</v>
      </c>
      <c r="B857" t="str">
        <f t="shared" si="41"/>
        <v>Solar Power Plant Setup</v>
      </c>
      <c r="C857" t="s">
        <v>8</v>
      </c>
      <c r="D857" s="2">
        <v>462693</v>
      </c>
      <c r="E857">
        <v>132</v>
      </c>
      <c r="F857" t="s">
        <v>14</v>
      </c>
      <c r="G857" s="2">
        <f t="shared" si="39"/>
        <v>439558.35</v>
      </c>
      <c r="H857" s="1">
        <f t="shared" si="40"/>
        <v>162</v>
      </c>
    </row>
    <row r="858" spans="1:8">
      <c r="A858" s="1">
        <v>857</v>
      </c>
      <c r="B858" t="str">
        <f t="shared" si="41"/>
        <v>Water Treatment Pipeline</v>
      </c>
      <c r="C858" t="s">
        <v>7</v>
      </c>
      <c r="D858" s="2">
        <v>778107</v>
      </c>
      <c r="E858">
        <v>119</v>
      </c>
      <c r="F858" t="s">
        <v>14</v>
      </c>
      <c r="G858" s="2">
        <f t="shared" si="39"/>
        <v>739201.65</v>
      </c>
      <c r="H858" s="1">
        <f t="shared" si="40"/>
        <v>149</v>
      </c>
    </row>
    <row r="859" spans="1:8">
      <c r="A859" s="1">
        <v>858</v>
      </c>
      <c r="B859" t="str">
        <f t="shared" si="41"/>
        <v>National Highway Expansion</v>
      </c>
      <c r="C859" t="s">
        <v>5</v>
      </c>
      <c r="D859" s="2">
        <v>794201</v>
      </c>
      <c r="E859">
        <v>217</v>
      </c>
      <c r="F859" t="s">
        <v>13</v>
      </c>
      <c r="G859" s="2">
        <f t="shared" si="39"/>
        <v>754490.95</v>
      </c>
      <c r="H859" s="1">
        <f t="shared" si="40"/>
        <v>219</v>
      </c>
    </row>
    <row r="860" spans="1:8">
      <c r="A860" s="1">
        <v>859</v>
      </c>
      <c r="B860" t="str">
        <f t="shared" si="41"/>
        <v>Metro Corridor Extension</v>
      </c>
      <c r="C860" t="s">
        <v>4</v>
      </c>
      <c r="D860" s="2">
        <v>681709</v>
      </c>
      <c r="E860">
        <v>93</v>
      </c>
      <c r="F860" t="s">
        <v>14</v>
      </c>
      <c r="G860" s="2">
        <f t="shared" si="39"/>
        <v>647623.55</v>
      </c>
      <c r="H860" s="1">
        <f t="shared" si="40"/>
        <v>123</v>
      </c>
    </row>
    <row r="861" spans="1:8">
      <c r="A861" s="1">
        <v>860</v>
      </c>
      <c r="B861" t="str">
        <f t="shared" si="41"/>
        <v>Smart Grid Substation</v>
      </c>
      <c r="C861" t="s">
        <v>8</v>
      </c>
      <c r="D861" s="2">
        <v>100457</v>
      </c>
      <c r="E861">
        <v>207</v>
      </c>
      <c r="F861" t="s">
        <v>13</v>
      </c>
      <c r="G861" s="2">
        <f t="shared" si="39"/>
        <v>95434.15</v>
      </c>
      <c r="H861" s="1">
        <f t="shared" si="40"/>
        <v>209</v>
      </c>
    </row>
    <row r="862" spans="1:8">
      <c r="A862" s="1">
        <v>861</v>
      </c>
      <c r="B862" t="str">
        <f t="shared" si="41"/>
        <v>Elevated Flyover Construction</v>
      </c>
      <c r="C862" t="s">
        <v>8</v>
      </c>
      <c r="D862" s="2">
        <v>107071</v>
      </c>
      <c r="E862">
        <v>209</v>
      </c>
      <c r="F862" t="s">
        <v>14</v>
      </c>
      <c r="G862" s="2">
        <f t="shared" si="39"/>
        <v>101717.45</v>
      </c>
      <c r="H862" s="1">
        <f t="shared" si="40"/>
        <v>239</v>
      </c>
    </row>
    <row r="863" spans="1:8">
      <c r="A863" s="1">
        <v>862</v>
      </c>
      <c r="B863" t="str">
        <f t="shared" si="41"/>
        <v>Solar Power Plant Setup</v>
      </c>
      <c r="C863" t="s">
        <v>4</v>
      </c>
      <c r="D863" s="2">
        <v>326732</v>
      </c>
      <c r="E863">
        <v>154</v>
      </c>
      <c r="F863" t="s">
        <v>13</v>
      </c>
      <c r="G863" s="2">
        <f t="shared" si="39"/>
        <v>310395.4</v>
      </c>
      <c r="H863" s="1">
        <f t="shared" si="40"/>
        <v>156</v>
      </c>
    </row>
    <row r="864" spans="1:8">
      <c r="A864" s="1">
        <v>863</v>
      </c>
      <c r="B864" t="str">
        <f t="shared" si="41"/>
        <v>Water Treatment Pipeline</v>
      </c>
      <c r="C864" t="s">
        <v>8</v>
      </c>
      <c r="D864" s="2">
        <v>172678</v>
      </c>
      <c r="E864">
        <v>114</v>
      </c>
      <c r="F864" t="s">
        <v>13</v>
      </c>
      <c r="G864" s="2">
        <f t="shared" si="39"/>
        <v>164044.1</v>
      </c>
      <c r="H864" s="1">
        <f t="shared" si="40"/>
        <v>116</v>
      </c>
    </row>
    <row r="865" spans="1:8">
      <c r="A865" s="1">
        <v>864</v>
      </c>
      <c r="B865" t="str">
        <f t="shared" si="41"/>
        <v>National Highway Expansion</v>
      </c>
      <c r="C865" t="s">
        <v>7</v>
      </c>
      <c r="D865" s="2">
        <v>875368</v>
      </c>
      <c r="E865">
        <v>124</v>
      </c>
      <c r="F865" t="s">
        <v>13</v>
      </c>
      <c r="G865" s="2">
        <f t="shared" si="39"/>
        <v>831599.6</v>
      </c>
      <c r="H865" s="1">
        <f t="shared" si="40"/>
        <v>126</v>
      </c>
    </row>
    <row r="866" spans="1:8">
      <c r="A866" s="1">
        <v>865</v>
      </c>
      <c r="B866" t="str">
        <f t="shared" si="41"/>
        <v>Metro Corridor Extension</v>
      </c>
      <c r="C866" t="s">
        <v>8</v>
      </c>
      <c r="D866" s="2">
        <v>277985</v>
      </c>
      <c r="E866">
        <v>136</v>
      </c>
      <c r="F866" t="s">
        <v>14</v>
      </c>
      <c r="G866" s="2">
        <f t="shared" si="39"/>
        <v>264085.75</v>
      </c>
      <c r="H866" s="1">
        <f t="shared" si="40"/>
        <v>166</v>
      </c>
    </row>
    <row r="867" spans="1:8">
      <c r="A867" s="1">
        <v>866</v>
      </c>
      <c r="B867" t="str">
        <f t="shared" si="41"/>
        <v>Smart Grid Substation</v>
      </c>
      <c r="C867" t="s">
        <v>6</v>
      </c>
      <c r="D867" s="2">
        <v>285728</v>
      </c>
      <c r="E867">
        <v>204</v>
      </c>
      <c r="F867" t="s">
        <v>14</v>
      </c>
      <c r="G867" s="2">
        <f t="shared" si="39"/>
        <v>328587.2</v>
      </c>
      <c r="H867" s="1">
        <f t="shared" si="40"/>
        <v>234</v>
      </c>
    </row>
    <row r="868" spans="1:8">
      <c r="A868" s="1">
        <v>867</v>
      </c>
      <c r="B868" t="str">
        <f t="shared" si="41"/>
        <v>Elevated Flyover Construction</v>
      </c>
      <c r="C868" t="s">
        <v>8</v>
      </c>
      <c r="D868" s="2">
        <v>575596</v>
      </c>
      <c r="E868">
        <v>175</v>
      </c>
      <c r="F868" t="s">
        <v>14</v>
      </c>
      <c r="G868" s="2">
        <f t="shared" si="39"/>
        <v>546816.2</v>
      </c>
      <c r="H868" s="1">
        <f t="shared" si="40"/>
        <v>205</v>
      </c>
    </row>
    <row r="869" spans="1:8">
      <c r="A869" s="1">
        <v>868</v>
      </c>
      <c r="B869" t="str">
        <f t="shared" si="41"/>
        <v>Solar Power Plant Setup</v>
      </c>
      <c r="C869" t="s">
        <v>8</v>
      </c>
      <c r="D869" s="2">
        <v>127931</v>
      </c>
      <c r="E869">
        <v>200</v>
      </c>
      <c r="F869" t="s">
        <v>14</v>
      </c>
      <c r="G869" s="2">
        <f t="shared" si="39"/>
        <v>121534.45</v>
      </c>
      <c r="H869" s="1">
        <f t="shared" si="40"/>
        <v>230</v>
      </c>
    </row>
    <row r="870" spans="1:8">
      <c r="A870" s="1">
        <v>869</v>
      </c>
      <c r="B870" t="str">
        <f t="shared" si="41"/>
        <v>Water Treatment Pipeline</v>
      </c>
      <c r="C870" t="s">
        <v>8</v>
      </c>
      <c r="D870" s="2">
        <v>674581</v>
      </c>
      <c r="E870">
        <v>169</v>
      </c>
      <c r="F870" t="s">
        <v>14</v>
      </c>
      <c r="G870" s="2">
        <f t="shared" si="39"/>
        <v>640851.95</v>
      </c>
      <c r="H870" s="1">
        <f t="shared" si="40"/>
        <v>199</v>
      </c>
    </row>
    <row r="871" spans="1:8">
      <c r="A871" s="1">
        <v>870</v>
      </c>
      <c r="B871" t="str">
        <f t="shared" si="41"/>
        <v>National Highway Expansion</v>
      </c>
      <c r="C871" t="s">
        <v>7</v>
      </c>
      <c r="D871" s="2">
        <v>308682</v>
      </c>
      <c r="E871">
        <v>128</v>
      </c>
      <c r="F871" t="s">
        <v>13</v>
      </c>
      <c r="G871" s="2">
        <f t="shared" si="39"/>
        <v>293247.9</v>
      </c>
      <c r="H871" s="1">
        <f t="shared" si="40"/>
        <v>130</v>
      </c>
    </row>
    <row r="872" spans="1:8">
      <c r="A872" s="1">
        <v>871</v>
      </c>
      <c r="B872" t="str">
        <f t="shared" si="41"/>
        <v>Metro Corridor Extension</v>
      </c>
      <c r="C872" t="s">
        <v>8</v>
      </c>
      <c r="D872" s="2">
        <v>142263</v>
      </c>
      <c r="E872">
        <v>185</v>
      </c>
      <c r="F872" t="s">
        <v>14</v>
      </c>
      <c r="G872" s="2">
        <f t="shared" si="39"/>
        <v>135149.85</v>
      </c>
      <c r="H872" s="1">
        <f t="shared" si="40"/>
        <v>215</v>
      </c>
    </row>
    <row r="873" spans="1:8">
      <c r="A873" s="1">
        <v>872</v>
      </c>
      <c r="B873" t="str">
        <f t="shared" si="41"/>
        <v>Smart Grid Substation</v>
      </c>
      <c r="C873" t="s">
        <v>6</v>
      </c>
      <c r="D873" s="2">
        <v>611223</v>
      </c>
      <c r="E873">
        <v>178</v>
      </c>
      <c r="F873" t="s">
        <v>14</v>
      </c>
      <c r="G873" s="2">
        <f t="shared" si="39"/>
        <v>702906.45</v>
      </c>
      <c r="H873" s="1">
        <f t="shared" si="40"/>
        <v>208</v>
      </c>
    </row>
    <row r="874" spans="1:8">
      <c r="A874" s="1">
        <v>873</v>
      </c>
      <c r="B874" t="str">
        <f t="shared" si="41"/>
        <v>Elevated Flyover Construction</v>
      </c>
      <c r="C874" t="s">
        <v>4</v>
      </c>
      <c r="D874" s="2">
        <v>212131</v>
      </c>
      <c r="E874">
        <v>143</v>
      </c>
      <c r="F874" t="s">
        <v>13</v>
      </c>
      <c r="G874" s="2">
        <f t="shared" si="39"/>
        <v>201524.45</v>
      </c>
      <c r="H874" s="1">
        <f t="shared" si="40"/>
        <v>145</v>
      </c>
    </row>
    <row r="875" spans="1:8">
      <c r="A875" s="1">
        <v>874</v>
      </c>
      <c r="B875" t="str">
        <f t="shared" si="41"/>
        <v>Solar Power Plant Setup</v>
      </c>
      <c r="C875" t="s">
        <v>8</v>
      </c>
      <c r="D875" s="2">
        <v>444887</v>
      </c>
      <c r="E875">
        <v>235</v>
      </c>
      <c r="F875" t="s">
        <v>14</v>
      </c>
      <c r="G875" s="2">
        <f t="shared" si="39"/>
        <v>422642.65</v>
      </c>
      <c r="H875" s="1">
        <f t="shared" si="40"/>
        <v>265</v>
      </c>
    </row>
    <row r="876" spans="1:8">
      <c r="A876" s="1">
        <v>875</v>
      </c>
      <c r="B876" t="str">
        <f t="shared" si="41"/>
        <v>Water Treatment Pipeline</v>
      </c>
      <c r="C876" t="s">
        <v>4</v>
      </c>
      <c r="D876" s="2">
        <v>484010</v>
      </c>
      <c r="E876">
        <v>218</v>
      </c>
      <c r="F876" t="s">
        <v>14</v>
      </c>
      <c r="G876" s="2">
        <f t="shared" si="39"/>
        <v>459809.5</v>
      </c>
      <c r="H876" s="1">
        <f t="shared" si="40"/>
        <v>248</v>
      </c>
    </row>
    <row r="877" spans="1:8">
      <c r="A877" s="1">
        <v>876</v>
      </c>
      <c r="B877" t="str">
        <f t="shared" si="41"/>
        <v>National Highway Expansion</v>
      </c>
      <c r="C877" t="s">
        <v>6</v>
      </c>
      <c r="D877" s="2">
        <v>538645</v>
      </c>
      <c r="E877">
        <v>143</v>
      </c>
      <c r="F877" t="s">
        <v>14</v>
      </c>
      <c r="G877" s="2">
        <f t="shared" si="39"/>
        <v>619441.75</v>
      </c>
      <c r="H877" s="1">
        <f t="shared" si="40"/>
        <v>173</v>
      </c>
    </row>
    <row r="878" spans="1:8">
      <c r="A878" s="1">
        <v>877</v>
      </c>
      <c r="B878" t="str">
        <f t="shared" si="41"/>
        <v>Metro Corridor Extension</v>
      </c>
      <c r="C878" t="s">
        <v>7</v>
      </c>
      <c r="D878" s="2">
        <v>568689</v>
      </c>
      <c r="E878">
        <v>124</v>
      </c>
      <c r="F878" t="s">
        <v>14</v>
      </c>
      <c r="G878" s="2">
        <f t="shared" si="39"/>
        <v>540254.55</v>
      </c>
      <c r="H878" s="1">
        <f t="shared" si="40"/>
        <v>154</v>
      </c>
    </row>
    <row r="879" spans="1:8">
      <c r="A879" s="1">
        <v>878</v>
      </c>
      <c r="B879" t="str">
        <f t="shared" si="41"/>
        <v>Smart Grid Substation</v>
      </c>
      <c r="C879" t="s">
        <v>5</v>
      </c>
      <c r="D879" s="2">
        <v>228259</v>
      </c>
      <c r="E879">
        <v>101</v>
      </c>
      <c r="F879" t="s">
        <v>14</v>
      </c>
      <c r="G879" s="2">
        <f t="shared" si="39"/>
        <v>216846.05</v>
      </c>
      <c r="H879" s="1">
        <f t="shared" si="40"/>
        <v>131</v>
      </c>
    </row>
    <row r="880" spans="1:8">
      <c r="A880" s="1">
        <v>879</v>
      </c>
      <c r="B880" t="str">
        <f t="shared" si="41"/>
        <v>Elevated Flyover Construction</v>
      </c>
      <c r="C880" t="s">
        <v>8</v>
      </c>
      <c r="D880" s="2">
        <v>832120</v>
      </c>
      <c r="E880">
        <v>142</v>
      </c>
      <c r="F880" t="s">
        <v>13</v>
      </c>
      <c r="G880" s="2">
        <f t="shared" si="39"/>
        <v>790514</v>
      </c>
      <c r="H880" s="1">
        <f t="shared" si="40"/>
        <v>144</v>
      </c>
    </row>
    <row r="881" spans="1:8">
      <c r="A881" s="1">
        <v>880</v>
      </c>
      <c r="B881" t="str">
        <f t="shared" si="41"/>
        <v>Solar Power Plant Setup</v>
      </c>
      <c r="C881" t="s">
        <v>7</v>
      </c>
      <c r="D881" s="2">
        <v>772220</v>
      </c>
      <c r="E881">
        <v>169</v>
      </c>
      <c r="F881" t="s">
        <v>13</v>
      </c>
      <c r="G881" s="2">
        <f t="shared" si="39"/>
        <v>733609</v>
      </c>
      <c r="H881" s="1">
        <f t="shared" si="40"/>
        <v>171</v>
      </c>
    </row>
    <row r="882" spans="1:8">
      <c r="A882" s="1">
        <v>881</v>
      </c>
      <c r="B882" t="str">
        <f t="shared" si="41"/>
        <v>Water Treatment Pipeline</v>
      </c>
      <c r="C882" t="s">
        <v>8</v>
      </c>
      <c r="D882" s="2">
        <v>258066</v>
      </c>
      <c r="E882">
        <v>191</v>
      </c>
      <c r="F882" t="s">
        <v>14</v>
      </c>
      <c r="G882" s="2">
        <f t="shared" si="39"/>
        <v>245162.7</v>
      </c>
      <c r="H882" s="1">
        <f t="shared" si="40"/>
        <v>221</v>
      </c>
    </row>
    <row r="883" spans="1:8">
      <c r="A883" s="1">
        <v>882</v>
      </c>
      <c r="B883" t="str">
        <f t="shared" si="41"/>
        <v>National Highway Expansion</v>
      </c>
      <c r="C883" t="s">
        <v>7</v>
      </c>
      <c r="D883" s="2">
        <v>840877</v>
      </c>
      <c r="E883">
        <v>138</v>
      </c>
      <c r="F883" t="s">
        <v>14</v>
      </c>
      <c r="G883" s="2">
        <f t="shared" si="39"/>
        <v>798833.15</v>
      </c>
      <c r="H883" s="1">
        <f t="shared" si="40"/>
        <v>168</v>
      </c>
    </row>
    <row r="884" spans="1:8">
      <c r="A884" s="1">
        <v>883</v>
      </c>
      <c r="B884" t="str">
        <f t="shared" si="41"/>
        <v>Metro Corridor Extension</v>
      </c>
      <c r="C884" t="s">
        <v>6</v>
      </c>
      <c r="D884" s="2">
        <v>169190</v>
      </c>
      <c r="E884">
        <v>96</v>
      </c>
      <c r="F884" t="s">
        <v>14</v>
      </c>
      <c r="G884" s="2">
        <f t="shared" si="39"/>
        <v>194568.5</v>
      </c>
      <c r="H884" s="1">
        <f t="shared" si="40"/>
        <v>126</v>
      </c>
    </row>
    <row r="885" spans="1:8">
      <c r="A885" s="1">
        <v>884</v>
      </c>
      <c r="B885" t="str">
        <f t="shared" si="41"/>
        <v>Smart Grid Substation</v>
      </c>
      <c r="C885" t="s">
        <v>7</v>
      </c>
      <c r="D885" s="2">
        <v>367850</v>
      </c>
      <c r="E885">
        <v>145</v>
      </c>
      <c r="F885" t="s">
        <v>13</v>
      </c>
      <c r="G885" s="2">
        <f t="shared" si="39"/>
        <v>349457.5</v>
      </c>
      <c r="H885" s="1">
        <f t="shared" si="40"/>
        <v>147</v>
      </c>
    </row>
    <row r="886" spans="1:8">
      <c r="A886" s="1">
        <v>885</v>
      </c>
      <c r="B886" t="str">
        <f t="shared" si="41"/>
        <v>Elevated Flyover Construction</v>
      </c>
      <c r="C886" t="s">
        <v>6</v>
      </c>
      <c r="D886" s="2">
        <v>845363</v>
      </c>
      <c r="E886">
        <v>232</v>
      </c>
      <c r="F886" t="s">
        <v>14</v>
      </c>
      <c r="G886" s="2">
        <f t="shared" si="39"/>
        <v>972167.45</v>
      </c>
      <c r="H886" s="1">
        <f t="shared" si="40"/>
        <v>262</v>
      </c>
    </row>
    <row r="887" spans="1:8">
      <c r="A887" s="1">
        <v>886</v>
      </c>
      <c r="B887" t="str">
        <f t="shared" si="41"/>
        <v>Solar Power Plant Setup</v>
      </c>
      <c r="C887" t="s">
        <v>8</v>
      </c>
      <c r="D887" s="2">
        <v>224696</v>
      </c>
      <c r="E887">
        <v>151</v>
      </c>
      <c r="F887" t="s">
        <v>14</v>
      </c>
      <c r="G887" s="2">
        <f t="shared" si="39"/>
        <v>213461.2</v>
      </c>
      <c r="H887" s="1">
        <f t="shared" si="40"/>
        <v>181</v>
      </c>
    </row>
    <row r="888" spans="1:8">
      <c r="A888" s="1">
        <v>887</v>
      </c>
      <c r="B888" t="str">
        <f t="shared" si="41"/>
        <v>Water Treatment Pipeline</v>
      </c>
      <c r="C888" t="s">
        <v>6</v>
      </c>
      <c r="D888" s="2">
        <v>518827</v>
      </c>
      <c r="E888">
        <v>181</v>
      </c>
      <c r="F888" t="s">
        <v>14</v>
      </c>
      <c r="G888" s="2">
        <f t="shared" si="39"/>
        <v>596651.05</v>
      </c>
      <c r="H888" s="1">
        <f t="shared" si="40"/>
        <v>211</v>
      </c>
    </row>
    <row r="889" spans="1:8">
      <c r="A889" s="1">
        <v>888</v>
      </c>
      <c r="B889" t="str">
        <f t="shared" si="41"/>
        <v>National Highway Expansion</v>
      </c>
      <c r="C889" t="s">
        <v>6</v>
      </c>
      <c r="D889" s="2">
        <v>502930</v>
      </c>
      <c r="E889">
        <v>158</v>
      </c>
      <c r="F889" t="s">
        <v>13</v>
      </c>
      <c r="G889" s="2">
        <f t="shared" si="39"/>
        <v>578369.5</v>
      </c>
      <c r="H889" s="1">
        <f t="shared" si="40"/>
        <v>160</v>
      </c>
    </row>
    <row r="890" spans="1:8">
      <c r="A890" s="1">
        <v>889</v>
      </c>
      <c r="B890" t="str">
        <f t="shared" si="41"/>
        <v>Metro Corridor Extension</v>
      </c>
      <c r="C890" t="s">
        <v>7</v>
      </c>
      <c r="D890" s="2">
        <v>251307</v>
      </c>
      <c r="E890">
        <v>97</v>
      </c>
      <c r="F890" t="s">
        <v>13</v>
      </c>
      <c r="G890" s="2">
        <f t="shared" si="39"/>
        <v>238741.65</v>
      </c>
      <c r="H890" s="1">
        <f t="shared" si="40"/>
        <v>99</v>
      </c>
    </row>
    <row r="891" spans="1:8">
      <c r="A891" s="1">
        <v>890</v>
      </c>
      <c r="B891" t="str">
        <f t="shared" si="41"/>
        <v>Smart Grid Substation</v>
      </c>
      <c r="C891" t="s">
        <v>6</v>
      </c>
      <c r="D891" s="2">
        <v>422973</v>
      </c>
      <c r="E891">
        <v>216</v>
      </c>
      <c r="F891" t="s">
        <v>13</v>
      </c>
      <c r="G891" s="2">
        <f t="shared" si="39"/>
        <v>486418.95</v>
      </c>
      <c r="H891" s="1">
        <f t="shared" si="40"/>
        <v>218</v>
      </c>
    </row>
    <row r="892" spans="1:8">
      <c r="A892" s="1">
        <v>891</v>
      </c>
      <c r="B892" t="str">
        <f t="shared" si="41"/>
        <v>Elevated Flyover Construction</v>
      </c>
      <c r="C892" t="s">
        <v>8</v>
      </c>
      <c r="D892" s="2">
        <v>322351</v>
      </c>
      <c r="E892">
        <v>122</v>
      </c>
      <c r="F892" t="s">
        <v>14</v>
      </c>
      <c r="G892" s="2">
        <f t="shared" si="39"/>
        <v>306233.45</v>
      </c>
      <c r="H892" s="1">
        <f t="shared" si="40"/>
        <v>152</v>
      </c>
    </row>
    <row r="893" spans="1:8">
      <c r="A893" s="1">
        <v>892</v>
      </c>
      <c r="B893" t="str">
        <f t="shared" si="41"/>
        <v>Solar Power Plant Setup</v>
      </c>
      <c r="C893" t="s">
        <v>6</v>
      </c>
      <c r="D893" s="2">
        <v>775228</v>
      </c>
      <c r="E893">
        <v>237</v>
      </c>
      <c r="F893" t="s">
        <v>14</v>
      </c>
      <c r="G893" s="2">
        <f t="shared" si="39"/>
        <v>891512.2</v>
      </c>
      <c r="H893" s="1">
        <f t="shared" si="40"/>
        <v>267</v>
      </c>
    </row>
    <row r="894" spans="1:8">
      <c r="A894" s="1">
        <v>893</v>
      </c>
      <c r="B894" t="str">
        <f t="shared" si="41"/>
        <v>Water Treatment Pipeline</v>
      </c>
      <c r="C894" t="s">
        <v>6</v>
      </c>
      <c r="D894" s="2">
        <v>134029</v>
      </c>
      <c r="E894">
        <v>173</v>
      </c>
      <c r="F894" t="s">
        <v>13</v>
      </c>
      <c r="G894" s="2">
        <f t="shared" si="39"/>
        <v>154133.35</v>
      </c>
      <c r="H894" s="1">
        <f t="shared" si="40"/>
        <v>175</v>
      </c>
    </row>
    <row r="895" spans="1:8">
      <c r="A895" s="1">
        <v>894</v>
      </c>
      <c r="B895" t="str">
        <f t="shared" si="41"/>
        <v>National Highway Expansion</v>
      </c>
      <c r="C895" t="s">
        <v>5</v>
      </c>
      <c r="D895" s="2">
        <v>801617</v>
      </c>
      <c r="E895">
        <v>208</v>
      </c>
      <c r="F895" t="s">
        <v>13</v>
      </c>
      <c r="G895" s="2">
        <f t="shared" si="39"/>
        <v>761536.15</v>
      </c>
      <c r="H895" s="1">
        <f t="shared" si="40"/>
        <v>210</v>
      </c>
    </row>
    <row r="896" spans="1:8">
      <c r="A896" s="1">
        <v>895</v>
      </c>
      <c r="B896" t="str">
        <f t="shared" si="41"/>
        <v>Metro Corridor Extension</v>
      </c>
      <c r="C896" t="s">
        <v>4</v>
      </c>
      <c r="D896" s="2">
        <v>697400</v>
      </c>
      <c r="E896">
        <v>130</v>
      </c>
      <c r="F896" t="s">
        <v>14</v>
      </c>
      <c r="G896" s="2">
        <f t="shared" si="39"/>
        <v>662530</v>
      </c>
      <c r="H896" s="1">
        <f t="shared" si="40"/>
        <v>160</v>
      </c>
    </row>
    <row r="897" spans="1:8">
      <c r="A897" s="1">
        <v>896</v>
      </c>
      <c r="B897" t="str">
        <f t="shared" si="41"/>
        <v>Smart Grid Substation</v>
      </c>
      <c r="C897" t="s">
        <v>7</v>
      </c>
      <c r="D897" s="2">
        <v>539142</v>
      </c>
      <c r="E897">
        <v>158</v>
      </c>
      <c r="F897" t="s">
        <v>13</v>
      </c>
      <c r="G897" s="2">
        <f t="shared" si="39"/>
        <v>512184.9</v>
      </c>
      <c r="H897" s="1">
        <f t="shared" si="40"/>
        <v>160</v>
      </c>
    </row>
    <row r="898" spans="1:8">
      <c r="A898" s="1">
        <v>897</v>
      </c>
      <c r="B898" t="str">
        <f t="shared" si="41"/>
        <v>Elevated Flyover Construction</v>
      </c>
      <c r="C898" t="s">
        <v>4</v>
      </c>
      <c r="D898" s="2">
        <v>494788</v>
      </c>
      <c r="E898">
        <v>132</v>
      </c>
      <c r="F898" t="s">
        <v>14</v>
      </c>
      <c r="G898" s="2">
        <f t="shared" ref="G898:G961" si="42">IF(C898="North",D898*1.15,D898*0.95)</f>
        <v>470048.6</v>
      </c>
      <c r="H898" s="1">
        <f t="shared" ref="H898:H961" si="43">IF(F898="Yes",E898+30,E898+2)</f>
        <v>162</v>
      </c>
    </row>
    <row r="899" spans="1:8">
      <c r="A899" s="1">
        <v>898</v>
      </c>
      <c r="B899" t="str">
        <f t="shared" ref="B899:B962" si="44">VLOOKUP(MOD(A899,6),$L$4:$M$9,2,FALSE)</f>
        <v>Solar Power Plant Setup</v>
      </c>
      <c r="C899" t="s">
        <v>7</v>
      </c>
      <c r="D899" s="2">
        <v>389762</v>
      </c>
      <c r="E899">
        <v>171</v>
      </c>
      <c r="F899" t="s">
        <v>14</v>
      </c>
      <c r="G899" s="2">
        <f t="shared" si="42"/>
        <v>370273.9</v>
      </c>
      <c r="H899" s="1">
        <f t="shared" si="43"/>
        <v>201</v>
      </c>
    </row>
    <row r="900" spans="1:8">
      <c r="A900" s="1">
        <v>899</v>
      </c>
      <c r="B900" t="str">
        <f t="shared" si="44"/>
        <v>Water Treatment Pipeline</v>
      </c>
      <c r="C900" t="s">
        <v>4</v>
      </c>
      <c r="D900" s="2">
        <v>464026</v>
      </c>
      <c r="E900">
        <v>168</v>
      </c>
      <c r="F900" t="s">
        <v>14</v>
      </c>
      <c r="G900" s="2">
        <f t="shared" si="42"/>
        <v>440824.7</v>
      </c>
      <c r="H900" s="1">
        <f t="shared" si="43"/>
        <v>198</v>
      </c>
    </row>
    <row r="901" spans="1:8">
      <c r="A901" s="1">
        <v>900</v>
      </c>
      <c r="B901" t="str">
        <f t="shared" si="44"/>
        <v>National Highway Expansion</v>
      </c>
      <c r="C901" t="s">
        <v>6</v>
      </c>
      <c r="D901" s="2">
        <v>522614</v>
      </c>
      <c r="E901">
        <v>174</v>
      </c>
      <c r="F901" t="s">
        <v>14</v>
      </c>
      <c r="G901" s="2">
        <f t="shared" si="42"/>
        <v>601006.1</v>
      </c>
      <c r="H901" s="1">
        <f t="shared" si="43"/>
        <v>204</v>
      </c>
    </row>
    <row r="902" spans="1:8">
      <c r="A902" s="1">
        <v>901</v>
      </c>
      <c r="B902" t="str">
        <f t="shared" si="44"/>
        <v>Metro Corridor Extension</v>
      </c>
      <c r="C902" t="s">
        <v>8</v>
      </c>
      <c r="D902" s="2">
        <v>294136</v>
      </c>
      <c r="E902">
        <v>174</v>
      </c>
      <c r="F902" t="s">
        <v>13</v>
      </c>
      <c r="G902" s="2">
        <f t="shared" si="42"/>
        <v>279429.2</v>
      </c>
      <c r="H902" s="1">
        <f t="shared" si="43"/>
        <v>176</v>
      </c>
    </row>
    <row r="903" spans="1:8">
      <c r="A903" s="1">
        <v>902</v>
      </c>
      <c r="B903" t="str">
        <f t="shared" si="44"/>
        <v>Smart Grid Substation</v>
      </c>
      <c r="C903" t="s">
        <v>7</v>
      </c>
      <c r="D903" s="2">
        <v>188139</v>
      </c>
      <c r="E903">
        <v>209</v>
      </c>
      <c r="F903" t="s">
        <v>13</v>
      </c>
      <c r="G903" s="2">
        <f t="shared" si="42"/>
        <v>178732.05</v>
      </c>
      <c r="H903" s="1">
        <f t="shared" si="43"/>
        <v>211</v>
      </c>
    </row>
    <row r="904" spans="1:8">
      <c r="A904" s="1">
        <v>903</v>
      </c>
      <c r="B904" t="str">
        <f t="shared" si="44"/>
        <v>Elevated Flyover Construction</v>
      </c>
      <c r="C904" t="s">
        <v>4</v>
      </c>
      <c r="D904" s="2">
        <v>180084</v>
      </c>
      <c r="E904">
        <v>97</v>
      </c>
      <c r="F904" t="s">
        <v>13</v>
      </c>
      <c r="G904" s="2">
        <f t="shared" si="42"/>
        <v>171079.8</v>
      </c>
      <c r="H904" s="1">
        <f t="shared" si="43"/>
        <v>99</v>
      </c>
    </row>
    <row r="905" spans="1:8">
      <c r="A905" s="1">
        <v>904</v>
      </c>
      <c r="B905" t="str">
        <f t="shared" si="44"/>
        <v>Solar Power Plant Setup</v>
      </c>
      <c r="C905" t="s">
        <v>7</v>
      </c>
      <c r="D905" s="2">
        <v>500555</v>
      </c>
      <c r="E905">
        <v>160</v>
      </c>
      <c r="F905" t="s">
        <v>14</v>
      </c>
      <c r="G905" s="2">
        <f t="shared" si="42"/>
        <v>475527.25</v>
      </c>
      <c r="H905" s="1">
        <f t="shared" si="43"/>
        <v>190</v>
      </c>
    </row>
    <row r="906" spans="1:8">
      <c r="A906" s="1">
        <v>905</v>
      </c>
      <c r="B906" t="str">
        <f t="shared" si="44"/>
        <v>Water Treatment Pipeline</v>
      </c>
      <c r="C906" t="s">
        <v>4</v>
      </c>
      <c r="D906" s="2">
        <v>513196</v>
      </c>
      <c r="E906">
        <v>232</v>
      </c>
      <c r="F906" t="s">
        <v>13</v>
      </c>
      <c r="G906" s="2">
        <f t="shared" si="42"/>
        <v>487536.2</v>
      </c>
      <c r="H906" s="1">
        <f t="shared" si="43"/>
        <v>234</v>
      </c>
    </row>
    <row r="907" spans="1:8">
      <c r="A907" s="1">
        <v>906</v>
      </c>
      <c r="B907" t="str">
        <f t="shared" si="44"/>
        <v>National Highway Expansion</v>
      </c>
      <c r="C907" t="s">
        <v>8</v>
      </c>
      <c r="D907" s="2">
        <v>659844</v>
      </c>
      <c r="E907">
        <v>109</v>
      </c>
      <c r="F907" t="s">
        <v>13</v>
      </c>
      <c r="G907" s="2">
        <f t="shared" si="42"/>
        <v>626851.8</v>
      </c>
      <c r="H907" s="1">
        <f t="shared" si="43"/>
        <v>111</v>
      </c>
    </row>
    <row r="908" spans="1:8">
      <c r="A908" s="1">
        <v>907</v>
      </c>
      <c r="B908" t="str">
        <f t="shared" si="44"/>
        <v>Metro Corridor Extension</v>
      </c>
      <c r="C908" t="s">
        <v>7</v>
      </c>
      <c r="D908" s="2">
        <v>192693</v>
      </c>
      <c r="E908">
        <v>229</v>
      </c>
      <c r="F908" t="s">
        <v>14</v>
      </c>
      <c r="G908" s="2">
        <f t="shared" si="42"/>
        <v>183058.35</v>
      </c>
      <c r="H908" s="1">
        <f t="shared" si="43"/>
        <v>259</v>
      </c>
    </row>
    <row r="909" spans="1:8">
      <c r="A909" s="1">
        <v>908</v>
      </c>
      <c r="B909" t="str">
        <f t="shared" si="44"/>
        <v>Smart Grid Substation</v>
      </c>
      <c r="C909" t="s">
        <v>8</v>
      </c>
      <c r="D909" s="2">
        <v>720608</v>
      </c>
      <c r="E909">
        <v>180</v>
      </c>
      <c r="F909" t="s">
        <v>13</v>
      </c>
      <c r="G909" s="2">
        <f t="shared" si="42"/>
        <v>684577.6</v>
      </c>
      <c r="H909" s="1">
        <f t="shared" si="43"/>
        <v>182</v>
      </c>
    </row>
    <row r="910" spans="1:8">
      <c r="A910" s="1">
        <v>909</v>
      </c>
      <c r="B910" t="str">
        <f t="shared" si="44"/>
        <v>Elevated Flyover Construction</v>
      </c>
      <c r="C910" t="s">
        <v>8</v>
      </c>
      <c r="D910" s="2">
        <v>234008</v>
      </c>
      <c r="E910">
        <v>233</v>
      </c>
      <c r="F910" t="s">
        <v>13</v>
      </c>
      <c r="G910" s="2">
        <f t="shared" si="42"/>
        <v>222307.6</v>
      </c>
      <c r="H910" s="1">
        <f t="shared" si="43"/>
        <v>235</v>
      </c>
    </row>
    <row r="911" spans="1:8">
      <c r="A911" s="1">
        <v>910</v>
      </c>
      <c r="B911" t="str">
        <f t="shared" si="44"/>
        <v>Solar Power Plant Setup</v>
      </c>
      <c r="C911" t="s">
        <v>8</v>
      </c>
      <c r="D911" s="2">
        <v>560367</v>
      </c>
      <c r="E911">
        <v>149</v>
      </c>
      <c r="F911" t="s">
        <v>13</v>
      </c>
      <c r="G911" s="2">
        <f t="shared" si="42"/>
        <v>532348.65</v>
      </c>
      <c r="H911" s="1">
        <f t="shared" si="43"/>
        <v>151</v>
      </c>
    </row>
    <row r="912" spans="1:8">
      <c r="A912" s="1">
        <v>911</v>
      </c>
      <c r="B912" t="str">
        <f t="shared" si="44"/>
        <v>Water Treatment Pipeline</v>
      </c>
      <c r="C912" t="s">
        <v>5</v>
      </c>
      <c r="D912" s="2">
        <v>145677</v>
      </c>
      <c r="E912">
        <v>214</v>
      </c>
      <c r="F912" t="s">
        <v>13</v>
      </c>
      <c r="G912" s="2">
        <f t="shared" si="42"/>
        <v>138393.15</v>
      </c>
      <c r="H912" s="1">
        <f t="shared" si="43"/>
        <v>216</v>
      </c>
    </row>
    <row r="913" spans="1:8">
      <c r="A913" s="1">
        <v>912</v>
      </c>
      <c r="B913" t="str">
        <f t="shared" si="44"/>
        <v>National Highway Expansion</v>
      </c>
      <c r="C913" t="s">
        <v>6</v>
      </c>
      <c r="D913" s="2">
        <v>823846</v>
      </c>
      <c r="E913">
        <v>232</v>
      </c>
      <c r="F913" t="s">
        <v>14</v>
      </c>
      <c r="G913" s="2">
        <f t="shared" si="42"/>
        <v>947422.9</v>
      </c>
      <c r="H913" s="1">
        <f t="shared" si="43"/>
        <v>262</v>
      </c>
    </row>
    <row r="914" spans="1:8">
      <c r="A914" s="1">
        <v>913</v>
      </c>
      <c r="B914" t="str">
        <f t="shared" si="44"/>
        <v>Metro Corridor Extension</v>
      </c>
      <c r="C914" t="s">
        <v>8</v>
      </c>
      <c r="D914" s="2">
        <v>567915</v>
      </c>
      <c r="E914">
        <v>112</v>
      </c>
      <c r="F914" t="s">
        <v>13</v>
      </c>
      <c r="G914" s="2">
        <f t="shared" si="42"/>
        <v>539519.25</v>
      </c>
      <c r="H914" s="1">
        <f t="shared" si="43"/>
        <v>114</v>
      </c>
    </row>
    <row r="915" spans="1:8">
      <c r="A915" s="1">
        <v>914</v>
      </c>
      <c r="B915" t="str">
        <f t="shared" si="44"/>
        <v>Smart Grid Substation</v>
      </c>
      <c r="C915" t="s">
        <v>4</v>
      </c>
      <c r="D915" s="2">
        <v>121889</v>
      </c>
      <c r="E915">
        <v>232</v>
      </c>
      <c r="F915" t="s">
        <v>14</v>
      </c>
      <c r="G915" s="2">
        <f t="shared" si="42"/>
        <v>115794.55</v>
      </c>
      <c r="H915" s="1">
        <f t="shared" si="43"/>
        <v>262</v>
      </c>
    </row>
    <row r="916" spans="1:8">
      <c r="A916" s="1">
        <v>915</v>
      </c>
      <c r="B916" t="str">
        <f t="shared" si="44"/>
        <v>Elevated Flyover Construction</v>
      </c>
      <c r="C916" t="s">
        <v>6</v>
      </c>
      <c r="D916" s="2">
        <v>763254</v>
      </c>
      <c r="E916">
        <v>164</v>
      </c>
      <c r="F916" t="s">
        <v>13</v>
      </c>
      <c r="G916" s="2">
        <f t="shared" si="42"/>
        <v>877742.1</v>
      </c>
      <c r="H916" s="1">
        <f t="shared" si="43"/>
        <v>166</v>
      </c>
    </row>
    <row r="917" spans="1:8">
      <c r="A917" s="1">
        <v>916</v>
      </c>
      <c r="B917" t="str">
        <f t="shared" si="44"/>
        <v>Solar Power Plant Setup</v>
      </c>
      <c r="C917" t="s">
        <v>4</v>
      </c>
      <c r="D917" s="2">
        <v>351689</v>
      </c>
      <c r="E917">
        <v>115</v>
      </c>
      <c r="F917" t="s">
        <v>14</v>
      </c>
      <c r="G917" s="2">
        <f t="shared" si="42"/>
        <v>334104.55</v>
      </c>
      <c r="H917" s="1">
        <f t="shared" si="43"/>
        <v>145</v>
      </c>
    </row>
    <row r="918" spans="1:8">
      <c r="A918" s="1">
        <v>917</v>
      </c>
      <c r="B918" t="str">
        <f t="shared" si="44"/>
        <v>Water Treatment Pipeline</v>
      </c>
      <c r="C918" t="s">
        <v>7</v>
      </c>
      <c r="D918" s="2">
        <v>707103</v>
      </c>
      <c r="E918">
        <v>238</v>
      </c>
      <c r="F918" t="s">
        <v>13</v>
      </c>
      <c r="G918" s="2">
        <f t="shared" si="42"/>
        <v>671747.85</v>
      </c>
      <c r="H918" s="1">
        <f t="shared" si="43"/>
        <v>240</v>
      </c>
    </row>
    <row r="919" spans="1:8">
      <c r="A919" s="1">
        <v>918</v>
      </c>
      <c r="B919" t="str">
        <f t="shared" si="44"/>
        <v>National Highway Expansion</v>
      </c>
      <c r="C919" t="s">
        <v>8</v>
      </c>
      <c r="D919" s="2">
        <v>899812</v>
      </c>
      <c r="E919">
        <v>140</v>
      </c>
      <c r="F919" t="s">
        <v>13</v>
      </c>
      <c r="G919" s="2">
        <f t="shared" si="42"/>
        <v>854821.4</v>
      </c>
      <c r="H919" s="1">
        <f t="shared" si="43"/>
        <v>142</v>
      </c>
    </row>
    <row r="920" spans="1:8">
      <c r="A920" s="1">
        <v>919</v>
      </c>
      <c r="B920" t="str">
        <f t="shared" si="44"/>
        <v>Metro Corridor Extension</v>
      </c>
      <c r="C920" t="s">
        <v>4</v>
      </c>
      <c r="D920" s="2">
        <v>815495</v>
      </c>
      <c r="E920">
        <v>211</v>
      </c>
      <c r="F920" t="s">
        <v>14</v>
      </c>
      <c r="G920" s="2">
        <f t="shared" si="42"/>
        <v>774720.25</v>
      </c>
      <c r="H920" s="1">
        <f t="shared" si="43"/>
        <v>241</v>
      </c>
    </row>
    <row r="921" spans="1:8">
      <c r="A921" s="1">
        <v>920</v>
      </c>
      <c r="B921" t="str">
        <f t="shared" si="44"/>
        <v>Smart Grid Substation</v>
      </c>
      <c r="C921" t="s">
        <v>8</v>
      </c>
      <c r="D921" s="2">
        <v>684941</v>
      </c>
      <c r="E921">
        <v>162</v>
      </c>
      <c r="F921" t="s">
        <v>14</v>
      </c>
      <c r="G921" s="2">
        <f t="shared" si="42"/>
        <v>650693.95</v>
      </c>
      <c r="H921" s="1">
        <f t="shared" si="43"/>
        <v>192</v>
      </c>
    </row>
    <row r="922" spans="1:8">
      <c r="A922" s="1">
        <v>921</v>
      </c>
      <c r="B922" t="str">
        <f t="shared" si="44"/>
        <v>Elevated Flyover Construction</v>
      </c>
      <c r="C922" t="s">
        <v>4</v>
      </c>
      <c r="D922" s="2">
        <v>601761</v>
      </c>
      <c r="E922">
        <v>203</v>
      </c>
      <c r="F922" t="s">
        <v>13</v>
      </c>
      <c r="G922" s="2">
        <f t="shared" si="42"/>
        <v>571672.95</v>
      </c>
      <c r="H922" s="1">
        <f t="shared" si="43"/>
        <v>205</v>
      </c>
    </row>
    <row r="923" spans="1:8">
      <c r="A923" s="1">
        <v>922</v>
      </c>
      <c r="B923" t="str">
        <f t="shared" si="44"/>
        <v>Solar Power Plant Setup</v>
      </c>
      <c r="C923" t="s">
        <v>6</v>
      </c>
      <c r="D923" s="2">
        <v>264466</v>
      </c>
      <c r="E923">
        <v>220</v>
      </c>
      <c r="F923" t="s">
        <v>13</v>
      </c>
      <c r="G923" s="2">
        <f t="shared" si="42"/>
        <v>304135.9</v>
      </c>
      <c r="H923" s="1">
        <f t="shared" si="43"/>
        <v>222</v>
      </c>
    </row>
    <row r="924" spans="1:8">
      <c r="A924" s="1">
        <v>923</v>
      </c>
      <c r="B924" t="str">
        <f t="shared" si="44"/>
        <v>Water Treatment Pipeline</v>
      </c>
      <c r="C924" t="s">
        <v>4</v>
      </c>
      <c r="D924" s="2">
        <v>214098</v>
      </c>
      <c r="E924">
        <v>233</v>
      </c>
      <c r="F924" t="s">
        <v>14</v>
      </c>
      <c r="G924" s="2">
        <f t="shared" si="42"/>
        <v>203393.1</v>
      </c>
      <c r="H924" s="1">
        <f t="shared" si="43"/>
        <v>263</v>
      </c>
    </row>
    <row r="925" spans="1:8">
      <c r="A925" s="1">
        <v>924</v>
      </c>
      <c r="B925" t="str">
        <f t="shared" si="44"/>
        <v>National Highway Expansion</v>
      </c>
      <c r="C925" t="s">
        <v>7</v>
      </c>
      <c r="D925" s="2">
        <v>714225</v>
      </c>
      <c r="E925">
        <v>232</v>
      </c>
      <c r="F925" t="s">
        <v>14</v>
      </c>
      <c r="G925" s="2">
        <f t="shared" si="42"/>
        <v>678513.75</v>
      </c>
      <c r="H925" s="1">
        <f t="shared" si="43"/>
        <v>262</v>
      </c>
    </row>
    <row r="926" spans="1:8">
      <c r="A926" s="1">
        <v>925</v>
      </c>
      <c r="B926" t="str">
        <f t="shared" si="44"/>
        <v>Metro Corridor Extension</v>
      </c>
      <c r="C926" t="s">
        <v>8</v>
      </c>
      <c r="D926" s="2">
        <v>313300</v>
      </c>
      <c r="E926">
        <v>131</v>
      </c>
      <c r="F926" t="s">
        <v>14</v>
      </c>
      <c r="G926" s="2">
        <f t="shared" si="42"/>
        <v>297635</v>
      </c>
      <c r="H926" s="1">
        <f t="shared" si="43"/>
        <v>161</v>
      </c>
    </row>
    <row r="927" spans="1:8">
      <c r="A927" s="1">
        <v>926</v>
      </c>
      <c r="B927" t="str">
        <f t="shared" si="44"/>
        <v>Smart Grid Substation</v>
      </c>
      <c r="C927" t="s">
        <v>7</v>
      </c>
      <c r="D927" s="2">
        <v>844779</v>
      </c>
      <c r="E927">
        <v>163</v>
      </c>
      <c r="F927" t="s">
        <v>14</v>
      </c>
      <c r="G927" s="2">
        <f t="shared" si="42"/>
        <v>802540.05</v>
      </c>
      <c r="H927" s="1">
        <f t="shared" si="43"/>
        <v>193</v>
      </c>
    </row>
    <row r="928" spans="1:8">
      <c r="A928" s="1">
        <v>927</v>
      </c>
      <c r="B928" t="str">
        <f t="shared" si="44"/>
        <v>Elevated Flyover Construction</v>
      </c>
      <c r="C928" t="s">
        <v>6</v>
      </c>
      <c r="D928" s="2">
        <v>543858</v>
      </c>
      <c r="E928">
        <v>208</v>
      </c>
      <c r="F928" t="s">
        <v>14</v>
      </c>
      <c r="G928" s="2">
        <f t="shared" si="42"/>
        <v>625436.7</v>
      </c>
      <c r="H928" s="1">
        <f t="shared" si="43"/>
        <v>238</v>
      </c>
    </row>
    <row r="929" spans="1:8">
      <c r="A929" s="1">
        <v>928</v>
      </c>
      <c r="B929" t="str">
        <f t="shared" si="44"/>
        <v>Solar Power Plant Setup</v>
      </c>
      <c r="C929" t="s">
        <v>4</v>
      </c>
      <c r="D929" s="2">
        <v>641317</v>
      </c>
      <c r="E929">
        <v>193</v>
      </c>
      <c r="F929" t="s">
        <v>13</v>
      </c>
      <c r="G929" s="2">
        <f t="shared" si="42"/>
        <v>609251.15</v>
      </c>
      <c r="H929" s="1">
        <f t="shared" si="43"/>
        <v>195</v>
      </c>
    </row>
    <row r="930" spans="1:8">
      <c r="A930" s="1">
        <v>929</v>
      </c>
      <c r="B930" t="str">
        <f t="shared" si="44"/>
        <v>Water Treatment Pipeline</v>
      </c>
      <c r="C930" t="s">
        <v>6</v>
      </c>
      <c r="D930" s="2">
        <v>408566</v>
      </c>
      <c r="E930">
        <v>209</v>
      </c>
      <c r="F930" t="s">
        <v>13</v>
      </c>
      <c r="G930" s="2">
        <f t="shared" si="42"/>
        <v>469850.9</v>
      </c>
      <c r="H930" s="1">
        <f t="shared" si="43"/>
        <v>211</v>
      </c>
    </row>
    <row r="931" spans="1:8">
      <c r="A931" s="1">
        <v>930</v>
      </c>
      <c r="B931" t="str">
        <f t="shared" si="44"/>
        <v>National Highway Expansion</v>
      </c>
      <c r="C931" t="s">
        <v>8</v>
      </c>
      <c r="D931" s="2">
        <v>899372</v>
      </c>
      <c r="E931">
        <v>232</v>
      </c>
      <c r="F931" t="s">
        <v>13</v>
      </c>
      <c r="G931" s="2">
        <f t="shared" si="42"/>
        <v>854403.4</v>
      </c>
      <c r="H931" s="1">
        <f t="shared" si="43"/>
        <v>234</v>
      </c>
    </row>
    <row r="932" spans="1:8">
      <c r="A932" s="1">
        <v>931</v>
      </c>
      <c r="B932" t="str">
        <f t="shared" si="44"/>
        <v>Metro Corridor Extension</v>
      </c>
      <c r="C932" t="s">
        <v>4</v>
      </c>
      <c r="D932" s="2">
        <v>879728</v>
      </c>
      <c r="E932">
        <v>95</v>
      </c>
      <c r="F932" t="s">
        <v>14</v>
      </c>
      <c r="G932" s="2">
        <f t="shared" si="42"/>
        <v>835741.6</v>
      </c>
      <c r="H932" s="1">
        <f t="shared" si="43"/>
        <v>125</v>
      </c>
    </row>
    <row r="933" spans="1:8">
      <c r="A933" s="1">
        <v>932</v>
      </c>
      <c r="B933" t="str">
        <f t="shared" si="44"/>
        <v>Smart Grid Substation</v>
      </c>
      <c r="C933" t="s">
        <v>6</v>
      </c>
      <c r="D933" s="2">
        <v>188006</v>
      </c>
      <c r="E933">
        <v>232</v>
      </c>
      <c r="F933" t="s">
        <v>14</v>
      </c>
      <c r="G933" s="2">
        <f t="shared" si="42"/>
        <v>216206.9</v>
      </c>
      <c r="H933" s="1">
        <f t="shared" si="43"/>
        <v>262</v>
      </c>
    </row>
    <row r="934" spans="1:8">
      <c r="A934" s="1">
        <v>933</v>
      </c>
      <c r="B934" t="str">
        <f t="shared" si="44"/>
        <v>Elevated Flyover Construction</v>
      </c>
      <c r="C934" t="s">
        <v>7</v>
      </c>
      <c r="D934" s="2">
        <v>526050</v>
      </c>
      <c r="E934">
        <v>232</v>
      </c>
      <c r="F934" t="s">
        <v>14</v>
      </c>
      <c r="G934" s="2">
        <f t="shared" si="42"/>
        <v>499747.5</v>
      </c>
      <c r="H934" s="1">
        <f t="shared" si="43"/>
        <v>262</v>
      </c>
    </row>
    <row r="935" spans="1:8">
      <c r="A935" s="1">
        <v>934</v>
      </c>
      <c r="B935" t="str">
        <f t="shared" si="44"/>
        <v>Solar Power Plant Setup</v>
      </c>
      <c r="C935" t="s">
        <v>6</v>
      </c>
      <c r="D935" s="2">
        <v>195749</v>
      </c>
      <c r="E935">
        <v>91</v>
      </c>
      <c r="F935" t="s">
        <v>14</v>
      </c>
      <c r="G935" s="2">
        <f t="shared" si="42"/>
        <v>225111.35</v>
      </c>
      <c r="H935" s="1">
        <f t="shared" si="43"/>
        <v>121</v>
      </c>
    </row>
    <row r="936" spans="1:8">
      <c r="A936" s="1">
        <v>935</v>
      </c>
      <c r="B936" t="str">
        <f t="shared" si="44"/>
        <v>Water Treatment Pipeline</v>
      </c>
      <c r="C936" t="s">
        <v>7</v>
      </c>
      <c r="D936" s="2">
        <v>854695</v>
      </c>
      <c r="E936">
        <v>110</v>
      </c>
      <c r="F936" t="s">
        <v>13</v>
      </c>
      <c r="G936" s="2">
        <f t="shared" si="42"/>
        <v>811960.25</v>
      </c>
      <c r="H936" s="1">
        <f t="shared" si="43"/>
        <v>112</v>
      </c>
    </row>
    <row r="937" spans="1:8">
      <c r="A937" s="1">
        <v>936</v>
      </c>
      <c r="B937" t="str">
        <f t="shared" si="44"/>
        <v>National Highway Expansion</v>
      </c>
      <c r="C937" t="s">
        <v>4</v>
      </c>
      <c r="D937" s="2">
        <v>317601</v>
      </c>
      <c r="E937">
        <v>154</v>
      </c>
      <c r="F937" t="s">
        <v>14</v>
      </c>
      <c r="G937" s="2">
        <f t="shared" si="42"/>
        <v>301720.95</v>
      </c>
      <c r="H937" s="1">
        <f t="shared" si="43"/>
        <v>184</v>
      </c>
    </row>
    <row r="938" spans="1:8">
      <c r="A938" s="1">
        <v>937</v>
      </c>
      <c r="B938" t="str">
        <f t="shared" si="44"/>
        <v>Metro Corridor Extension</v>
      </c>
      <c r="C938" t="s">
        <v>6</v>
      </c>
      <c r="D938" s="2">
        <v>649896</v>
      </c>
      <c r="E938">
        <v>137</v>
      </c>
      <c r="F938" t="s">
        <v>13</v>
      </c>
      <c r="G938" s="2">
        <f t="shared" si="42"/>
        <v>747380.4</v>
      </c>
      <c r="H938" s="1">
        <f t="shared" si="43"/>
        <v>139</v>
      </c>
    </row>
    <row r="939" spans="1:8">
      <c r="A939" s="1">
        <v>938</v>
      </c>
      <c r="B939" t="str">
        <f t="shared" si="44"/>
        <v>Smart Grid Substation</v>
      </c>
      <c r="C939" t="s">
        <v>6</v>
      </c>
      <c r="D939" s="2">
        <v>638392</v>
      </c>
      <c r="E939">
        <v>236</v>
      </c>
      <c r="F939" t="s">
        <v>14</v>
      </c>
      <c r="G939" s="2">
        <f t="shared" si="42"/>
        <v>734150.8</v>
      </c>
      <c r="H939" s="1">
        <f t="shared" si="43"/>
        <v>266</v>
      </c>
    </row>
    <row r="940" spans="1:8">
      <c r="A940" s="1">
        <v>939</v>
      </c>
      <c r="B940" t="str">
        <f t="shared" si="44"/>
        <v>Elevated Flyover Construction</v>
      </c>
      <c r="C940" t="s">
        <v>6</v>
      </c>
      <c r="D940" s="2">
        <v>441299</v>
      </c>
      <c r="E940">
        <v>224</v>
      </c>
      <c r="F940" t="s">
        <v>14</v>
      </c>
      <c r="G940" s="2">
        <f t="shared" si="42"/>
        <v>507493.85</v>
      </c>
      <c r="H940" s="1">
        <f t="shared" si="43"/>
        <v>254</v>
      </c>
    </row>
    <row r="941" spans="1:8">
      <c r="A941" s="1">
        <v>940</v>
      </c>
      <c r="B941" t="str">
        <f t="shared" si="44"/>
        <v>Solar Power Plant Setup</v>
      </c>
      <c r="C941" t="s">
        <v>4</v>
      </c>
      <c r="D941" s="2">
        <v>158950</v>
      </c>
      <c r="E941">
        <v>174</v>
      </c>
      <c r="F941" t="s">
        <v>13</v>
      </c>
      <c r="G941" s="2">
        <f t="shared" si="42"/>
        <v>151002.5</v>
      </c>
      <c r="H941" s="1">
        <f t="shared" si="43"/>
        <v>176</v>
      </c>
    </row>
    <row r="942" spans="1:8">
      <c r="A942" s="1">
        <v>941</v>
      </c>
      <c r="B942" t="str">
        <f t="shared" si="44"/>
        <v>Water Treatment Pipeline</v>
      </c>
      <c r="C942" t="s">
        <v>4</v>
      </c>
      <c r="D942" s="2">
        <v>245675</v>
      </c>
      <c r="E942">
        <v>145</v>
      </c>
      <c r="F942" t="s">
        <v>14</v>
      </c>
      <c r="G942" s="2">
        <f t="shared" si="42"/>
        <v>233391.25</v>
      </c>
      <c r="H942" s="1">
        <f t="shared" si="43"/>
        <v>175</v>
      </c>
    </row>
    <row r="943" spans="1:8">
      <c r="A943" s="1">
        <v>942</v>
      </c>
      <c r="B943" t="str">
        <f t="shared" si="44"/>
        <v>National Highway Expansion</v>
      </c>
      <c r="C943" t="s">
        <v>4</v>
      </c>
      <c r="D943" s="2">
        <v>197460</v>
      </c>
      <c r="E943">
        <v>166</v>
      </c>
      <c r="F943" t="s">
        <v>13</v>
      </c>
      <c r="G943" s="2">
        <f t="shared" si="42"/>
        <v>187587</v>
      </c>
      <c r="H943" s="1">
        <f t="shared" si="43"/>
        <v>168</v>
      </c>
    </row>
    <row r="944" spans="1:8">
      <c r="A944" s="1">
        <v>943</v>
      </c>
      <c r="B944" t="str">
        <f t="shared" si="44"/>
        <v>Metro Corridor Extension</v>
      </c>
      <c r="C944" t="s">
        <v>7</v>
      </c>
      <c r="D944" s="2">
        <v>849994</v>
      </c>
      <c r="E944">
        <v>240</v>
      </c>
      <c r="F944" t="s">
        <v>13</v>
      </c>
      <c r="G944" s="2">
        <f t="shared" si="42"/>
        <v>807494.3</v>
      </c>
      <c r="H944" s="1">
        <f t="shared" si="43"/>
        <v>242</v>
      </c>
    </row>
    <row r="945" spans="1:8">
      <c r="A945" s="1">
        <v>944</v>
      </c>
      <c r="B945" t="str">
        <f t="shared" si="44"/>
        <v>Smart Grid Substation</v>
      </c>
      <c r="C945" t="s">
        <v>6</v>
      </c>
      <c r="D945" s="2">
        <v>515677</v>
      </c>
      <c r="E945">
        <v>180</v>
      </c>
      <c r="F945" t="s">
        <v>14</v>
      </c>
      <c r="G945" s="2">
        <f t="shared" si="42"/>
        <v>593028.55</v>
      </c>
      <c r="H945" s="1">
        <f t="shared" si="43"/>
        <v>210</v>
      </c>
    </row>
    <row r="946" spans="1:8">
      <c r="A946" s="1">
        <v>945</v>
      </c>
      <c r="B946" t="str">
        <f t="shared" si="44"/>
        <v>Elevated Flyover Construction</v>
      </c>
      <c r="C946" t="s">
        <v>7</v>
      </c>
      <c r="D946" s="2">
        <v>266996</v>
      </c>
      <c r="E946">
        <v>177</v>
      </c>
      <c r="F946" t="s">
        <v>14</v>
      </c>
      <c r="G946" s="2">
        <f t="shared" si="42"/>
        <v>253646.2</v>
      </c>
      <c r="H946" s="1">
        <f t="shared" si="43"/>
        <v>207</v>
      </c>
    </row>
    <row r="947" spans="1:8">
      <c r="A947" s="1">
        <v>946</v>
      </c>
      <c r="B947" t="str">
        <f t="shared" si="44"/>
        <v>Solar Power Plant Setup</v>
      </c>
      <c r="C947" t="s">
        <v>8</v>
      </c>
      <c r="D947" s="2">
        <v>430329</v>
      </c>
      <c r="E947">
        <v>154</v>
      </c>
      <c r="F947" t="s">
        <v>13</v>
      </c>
      <c r="G947" s="2">
        <f t="shared" si="42"/>
        <v>408812.55</v>
      </c>
      <c r="H947" s="1">
        <f t="shared" si="43"/>
        <v>156</v>
      </c>
    </row>
    <row r="948" spans="1:8">
      <c r="A948" s="1">
        <v>947</v>
      </c>
      <c r="B948" t="str">
        <f t="shared" si="44"/>
        <v>Water Treatment Pipeline</v>
      </c>
      <c r="C948" t="s">
        <v>8</v>
      </c>
      <c r="D948" s="2">
        <v>296378</v>
      </c>
      <c r="E948">
        <v>203</v>
      </c>
      <c r="F948" t="s">
        <v>14</v>
      </c>
      <c r="G948" s="2">
        <f t="shared" si="42"/>
        <v>281559.1</v>
      </c>
      <c r="H948" s="1">
        <f t="shared" si="43"/>
        <v>233</v>
      </c>
    </row>
    <row r="949" spans="1:8">
      <c r="A949" s="1">
        <v>948</v>
      </c>
      <c r="B949" t="str">
        <f t="shared" si="44"/>
        <v>National Highway Expansion</v>
      </c>
      <c r="C949" t="s">
        <v>8</v>
      </c>
      <c r="D949" s="2">
        <v>567413</v>
      </c>
      <c r="E949">
        <v>148</v>
      </c>
      <c r="F949" t="s">
        <v>13</v>
      </c>
      <c r="G949" s="2">
        <f t="shared" si="42"/>
        <v>539042.35</v>
      </c>
      <c r="H949" s="1">
        <f t="shared" si="43"/>
        <v>150</v>
      </c>
    </row>
    <row r="950" spans="1:8">
      <c r="A950" s="1">
        <v>949</v>
      </c>
      <c r="B950" t="str">
        <f t="shared" si="44"/>
        <v>Metro Corridor Extension</v>
      </c>
      <c r="C950" t="s">
        <v>8</v>
      </c>
      <c r="D950" s="2">
        <v>523838</v>
      </c>
      <c r="E950">
        <v>134</v>
      </c>
      <c r="F950" t="s">
        <v>14</v>
      </c>
      <c r="G950" s="2">
        <f t="shared" si="42"/>
        <v>497646.1</v>
      </c>
      <c r="H950" s="1">
        <f t="shared" si="43"/>
        <v>164</v>
      </c>
    </row>
    <row r="951" spans="1:8">
      <c r="A951" s="1">
        <v>950</v>
      </c>
      <c r="B951" t="str">
        <f t="shared" si="44"/>
        <v>Smart Grid Substation</v>
      </c>
      <c r="C951" t="s">
        <v>7</v>
      </c>
      <c r="D951" s="2">
        <v>238710</v>
      </c>
      <c r="E951">
        <v>228</v>
      </c>
      <c r="F951" t="s">
        <v>14</v>
      </c>
      <c r="G951" s="2">
        <f t="shared" si="42"/>
        <v>226774.5</v>
      </c>
      <c r="H951" s="1">
        <f t="shared" si="43"/>
        <v>258</v>
      </c>
    </row>
    <row r="952" spans="1:8">
      <c r="A952" s="1">
        <v>951</v>
      </c>
      <c r="B952" t="str">
        <f t="shared" si="44"/>
        <v>Elevated Flyover Construction</v>
      </c>
      <c r="C952" t="s">
        <v>7</v>
      </c>
      <c r="D952" s="2">
        <v>324813</v>
      </c>
      <c r="E952">
        <v>184</v>
      </c>
      <c r="F952" t="s">
        <v>13</v>
      </c>
      <c r="G952" s="2">
        <f t="shared" si="42"/>
        <v>308572.35</v>
      </c>
      <c r="H952" s="1">
        <f t="shared" si="43"/>
        <v>186</v>
      </c>
    </row>
    <row r="953" spans="1:8">
      <c r="A953" s="1">
        <v>952</v>
      </c>
      <c r="B953" t="str">
        <f t="shared" si="44"/>
        <v>Solar Power Plant Setup</v>
      </c>
      <c r="C953" t="s">
        <v>7</v>
      </c>
      <c r="D953" s="2">
        <v>821299</v>
      </c>
      <c r="E953">
        <v>232</v>
      </c>
      <c r="F953" t="s">
        <v>13</v>
      </c>
      <c r="G953" s="2">
        <f t="shared" si="42"/>
        <v>780234.05</v>
      </c>
      <c r="H953" s="1">
        <f t="shared" si="43"/>
        <v>234</v>
      </c>
    </row>
    <row r="954" spans="1:8">
      <c r="A954" s="1">
        <v>953</v>
      </c>
      <c r="B954" t="str">
        <f t="shared" si="44"/>
        <v>Water Treatment Pipeline</v>
      </c>
      <c r="C954" t="s">
        <v>6</v>
      </c>
      <c r="D954" s="2">
        <v>184874</v>
      </c>
      <c r="E954">
        <v>161</v>
      </c>
      <c r="F954" t="s">
        <v>14</v>
      </c>
      <c r="G954" s="2">
        <f t="shared" si="42"/>
        <v>212605.1</v>
      </c>
      <c r="H954" s="1">
        <f t="shared" si="43"/>
        <v>191</v>
      </c>
    </row>
    <row r="955" spans="1:8">
      <c r="A955" s="1">
        <v>954</v>
      </c>
      <c r="B955" t="str">
        <f t="shared" si="44"/>
        <v>National Highway Expansion</v>
      </c>
      <c r="C955" t="s">
        <v>8</v>
      </c>
      <c r="D955" s="2">
        <v>854879</v>
      </c>
      <c r="E955">
        <v>211</v>
      </c>
      <c r="F955" t="s">
        <v>13</v>
      </c>
      <c r="G955" s="2">
        <f t="shared" si="42"/>
        <v>812135.05</v>
      </c>
      <c r="H955" s="1">
        <f t="shared" si="43"/>
        <v>213</v>
      </c>
    </row>
    <row r="956" spans="1:8">
      <c r="A956" s="1">
        <v>955</v>
      </c>
      <c r="B956" t="str">
        <f t="shared" si="44"/>
        <v>Metro Corridor Extension</v>
      </c>
      <c r="C956" t="s">
        <v>4</v>
      </c>
      <c r="D956" s="2">
        <v>396980</v>
      </c>
      <c r="E956">
        <v>232</v>
      </c>
      <c r="F956" t="s">
        <v>13</v>
      </c>
      <c r="G956" s="2">
        <f t="shared" si="42"/>
        <v>377131</v>
      </c>
      <c r="H956" s="1">
        <f t="shared" si="43"/>
        <v>234</v>
      </c>
    </row>
    <row r="957" spans="1:8">
      <c r="A957" s="1">
        <v>956</v>
      </c>
      <c r="B957" t="str">
        <f t="shared" si="44"/>
        <v>Smart Grid Substation</v>
      </c>
      <c r="C957" t="s">
        <v>8</v>
      </c>
      <c r="D957" s="2">
        <v>615494</v>
      </c>
      <c r="E957">
        <v>131</v>
      </c>
      <c r="F957" t="s">
        <v>14</v>
      </c>
      <c r="G957" s="2">
        <f t="shared" si="42"/>
        <v>584719.3</v>
      </c>
      <c r="H957" s="1">
        <f t="shared" si="43"/>
        <v>161</v>
      </c>
    </row>
    <row r="958" spans="1:8">
      <c r="A958" s="1">
        <v>957</v>
      </c>
      <c r="B958" t="str">
        <f t="shared" si="44"/>
        <v>Elevated Flyover Construction</v>
      </c>
      <c r="C958" t="s">
        <v>4</v>
      </c>
      <c r="D958" s="2">
        <v>388436</v>
      </c>
      <c r="E958">
        <v>209</v>
      </c>
      <c r="F958" t="s">
        <v>14</v>
      </c>
      <c r="G958" s="2">
        <f t="shared" si="42"/>
        <v>369014.2</v>
      </c>
      <c r="H958" s="1">
        <f t="shared" si="43"/>
        <v>239</v>
      </c>
    </row>
    <row r="959" spans="1:8">
      <c r="A959" s="1">
        <v>958</v>
      </c>
      <c r="B959" t="str">
        <f t="shared" si="44"/>
        <v>Solar Power Plant Setup</v>
      </c>
      <c r="C959" t="s">
        <v>4</v>
      </c>
      <c r="D959" s="2">
        <v>373264</v>
      </c>
      <c r="E959">
        <v>172</v>
      </c>
      <c r="F959" t="s">
        <v>13</v>
      </c>
      <c r="G959" s="2">
        <f t="shared" si="42"/>
        <v>354600.8</v>
      </c>
      <c r="H959" s="1">
        <f t="shared" si="43"/>
        <v>174</v>
      </c>
    </row>
    <row r="960" spans="1:8">
      <c r="A960" s="1">
        <v>959</v>
      </c>
      <c r="B960" t="str">
        <f t="shared" si="44"/>
        <v>Water Treatment Pipeline</v>
      </c>
      <c r="C960" t="s">
        <v>4</v>
      </c>
      <c r="D960" s="2">
        <v>198410</v>
      </c>
      <c r="E960">
        <v>191</v>
      </c>
      <c r="F960" t="s">
        <v>13</v>
      </c>
      <c r="G960" s="2">
        <f t="shared" si="42"/>
        <v>188489.5</v>
      </c>
      <c r="H960" s="1">
        <f t="shared" si="43"/>
        <v>193</v>
      </c>
    </row>
    <row r="961" spans="1:8">
      <c r="A961" s="1">
        <v>960</v>
      </c>
      <c r="B961" t="str">
        <f t="shared" si="44"/>
        <v>National Highway Expansion</v>
      </c>
      <c r="C961" t="s">
        <v>6</v>
      </c>
      <c r="D961" s="2">
        <v>785015</v>
      </c>
      <c r="E961">
        <v>233</v>
      </c>
      <c r="F961" t="s">
        <v>14</v>
      </c>
      <c r="G961" s="2">
        <f t="shared" si="42"/>
        <v>902767.25</v>
      </c>
      <c r="H961" s="1">
        <f t="shared" si="43"/>
        <v>263</v>
      </c>
    </row>
    <row r="962" spans="1:8">
      <c r="A962" s="1">
        <v>961</v>
      </c>
      <c r="B962" t="str">
        <f t="shared" si="44"/>
        <v>Metro Corridor Extension</v>
      </c>
      <c r="C962" t="s">
        <v>4</v>
      </c>
      <c r="D962" s="2">
        <v>308774</v>
      </c>
      <c r="E962">
        <v>169</v>
      </c>
      <c r="F962" t="s">
        <v>14</v>
      </c>
      <c r="G962" s="2">
        <f t="shared" ref="G962:G1001" si="45">IF(C962="North",D962*1.15,D962*0.95)</f>
        <v>293335.3</v>
      </c>
      <c r="H962" s="1">
        <f t="shared" ref="H962:H1001" si="46">IF(F962="Yes",E962+30,E962+2)</f>
        <v>199</v>
      </c>
    </row>
    <row r="963" spans="1:8">
      <c r="A963" s="1">
        <v>962</v>
      </c>
      <c r="B963" t="str">
        <f t="shared" ref="B963:B1001" si="47">VLOOKUP(MOD(A963,6),$L$4:$M$9,2,FALSE)</f>
        <v>Smart Grid Substation</v>
      </c>
      <c r="C963" t="s">
        <v>7</v>
      </c>
      <c r="D963" s="2">
        <v>207546</v>
      </c>
      <c r="E963">
        <v>234</v>
      </c>
      <c r="F963" t="s">
        <v>13</v>
      </c>
      <c r="G963" s="2">
        <f t="shared" si="45"/>
        <v>197168.7</v>
      </c>
      <c r="H963" s="1">
        <f t="shared" si="46"/>
        <v>236</v>
      </c>
    </row>
    <row r="964" spans="1:8">
      <c r="A964" s="1">
        <v>963</v>
      </c>
      <c r="B964" t="str">
        <f t="shared" si="47"/>
        <v>Elevated Flyover Construction</v>
      </c>
      <c r="C964" t="s">
        <v>7</v>
      </c>
      <c r="D964" s="2">
        <v>762619</v>
      </c>
      <c r="E964">
        <v>195</v>
      </c>
      <c r="F964" t="s">
        <v>14</v>
      </c>
      <c r="G964" s="2">
        <f t="shared" si="45"/>
        <v>724488.05</v>
      </c>
      <c r="H964" s="1">
        <f t="shared" si="46"/>
        <v>225</v>
      </c>
    </row>
    <row r="965" spans="1:8">
      <c r="A965" s="1">
        <v>964</v>
      </c>
      <c r="B965" t="str">
        <f t="shared" si="47"/>
        <v>Solar Power Plant Setup</v>
      </c>
      <c r="C965" t="s">
        <v>6</v>
      </c>
      <c r="D965" s="2">
        <v>826907</v>
      </c>
      <c r="E965">
        <v>158</v>
      </c>
      <c r="F965" t="s">
        <v>14</v>
      </c>
      <c r="G965" s="2">
        <f t="shared" si="45"/>
        <v>950943.05</v>
      </c>
      <c r="H965" s="1">
        <f t="shared" si="46"/>
        <v>188</v>
      </c>
    </row>
    <row r="966" spans="1:8">
      <c r="A966" s="1">
        <v>965</v>
      </c>
      <c r="B966" t="str">
        <f t="shared" si="47"/>
        <v>Water Treatment Pipeline</v>
      </c>
      <c r="C966" t="s">
        <v>8</v>
      </c>
      <c r="D966" s="2">
        <v>414074</v>
      </c>
      <c r="E966">
        <v>123</v>
      </c>
      <c r="F966" t="s">
        <v>13</v>
      </c>
      <c r="G966" s="2">
        <f t="shared" si="45"/>
        <v>393370.3</v>
      </c>
      <c r="H966" s="1">
        <f t="shared" si="46"/>
        <v>125</v>
      </c>
    </row>
    <row r="967" spans="1:8">
      <c r="A967" s="1">
        <v>966</v>
      </c>
      <c r="B967" t="str">
        <f t="shared" si="47"/>
        <v>National Highway Expansion</v>
      </c>
      <c r="C967" t="s">
        <v>7</v>
      </c>
      <c r="D967" s="2">
        <v>727014</v>
      </c>
      <c r="E967">
        <v>210</v>
      </c>
      <c r="F967" t="s">
        <v>14</v>
      </c>
      <c r="G967" s="2">
        <f t="shared" si="45"/>
        <v>690663.3</v>
      </c>
      <c r="H967" s="1">
        <f t="shared" si="46"/>
        <v>240</v>
      </c>
    </row>
    <row r="968" spans="1:8">
      <c r="A968" s="1">
        <v>967</v>
      </c>
      <c r="B968" t="str">
        <f t="shared" si="47"/>
        <v>Metro Corridor Extension</v>
      </c>
      <c r="C968" t="s">
        <v>8</v>
      </c>
      <c r="D968" s="2">
        <v>436001</v>
      </c>
      <c r="E968">
        <v>113</v>
      </c>
      <c r="F968" t="s">
        <v>13</v>
      </c>
      <c r="G968" s="2">
        <f t="shared" si="45"/>
        <v>414200.95</v>
      </c>
      <c r="H968" s="1">
        <f t="shared" si="46"/>
        <v>115</v>
      </c>
    </row>
    <row r="969" spans="1:8">
      <c r="A969" s="1">
        <v>968</v>
      </c>
      <c r="B969" t="str">
        <f t="shared" si="47"/>
        <v>Smart Grid Substation</v>
      </c>
      <c r="C969" t="s">
        <v>8</v>
      </c>
      <c r="D969" s="2">
        <v>661845</v>
      </c>
      <c r="E969">
        <v>171</v>
      </c>
      <c r="F969" t="s">
        <v>14</v>
      </c>
      <c r="G969" s="2">
        <f t="shared" si="45"/>
        <v>628752.75</v>
      </c>
      <c r="H969" s="1">
        <f t="shared" si="46"/>
        <v>201</v>
      </c>
    </row>
    <row r="970" spans="1:8">
      <c r="A970" s="1">
        <v>969</v>
      </c>
      <c r="B970" t="str">
        <f t="shared" si="47"/>
        <v>Elevated Flyover Construction</v>
      </c>
      <c r="C970" t="s">
        <v>4</v>
      </c>
      <c r="D970" s="2">
        <v>312348</v>
      </c>
      <c r="E970">
        <v>122</v>
      </c>
      <c r="F970" t="s">
        <v>14</v>
      </c>
      <c r="G970" s="2">
        <f t="shared" si="45"/>
        <v>296730.6</v>
      </c>
      <c r="H970" s="1">
        <f t="shared" si="46"/>
        <v>152</v>
      </c>
    </row>
    <row r="971" spans="1:8">
      <c r="A971" s="1">
        <v>970</v>
      </c>
      <c r="B971" t="str">
        <f t="shared" si="47"/>
        <v>Solar Power Plant Setup</v>
      </c>
      <c r="C971" t="s">
        <v>8</v>
      </c>
      <c r="D971" s="2">
        <v>442895</v>
      </c>
      <c r="E971">
        <v>98</v>
      </c>
      <c r="F971" t="s">
        <v>14</v>
      </c>
      <c r="G971" s="2">
        <f t="shared" si="45"/>
        <v>420750.25</v>
      </c>
      <c r="H971" s="1">
        <f t="shared" si="46"/>
        <v>128</v>
      </c>
    </row>
    <row r="972" spans="1:8">
      <c r="A972" s="1">
        <v>971</v>
      </c>
      <c r="B972" t="str">
        <f t="shared" si="47"/>
        <v>Water Treatment Pipeline</v>
      </c>
      <c r="C972" t="s">
        <v>4</v>
      </c>
      <c r="D972" s="2">
        <v>283455</v>
      </c>
      <c r="E972">
        <v>187</v>
      </c>
      <c r="F972" t="s">
        <v>13</v>
      </c>
      <c r="G972" s="2">
        <f t="shared" si="45"/>
        <v>269282.25</v>
      </c>
      <c r="H972" s="1">
        <f t="shared" si="46"/>
        <v>189</v>
      </c>
    </row>
    <row r="973" spans="1:8">
      <c r="A973" s="1">
        <v>972</v>
      </c>
      <c r="B973" t="str">
        <f t="shared" si="47"/>
        <v>National Highway Expansion</v>
      </c>
      <c r="C973" t="s">
        <v>8</v>
      </c>
      <c r="D973" s="2">
        <v>576444</v>
      </c>
      <c r="E973">
        <v>174</v>
      </c>
      <c r="F973" t="s">
        <v>14</v>
      </c>
      <c r="G973" s="2">
        <f t="shared" si="45"/>
        <v>547621.8</v>
      </c>
      <c r="H973" s="1">
        <f t="shared" si="46"/>
        <v>204</v>
      </c>
    </row>
    <row r="974" spans="1:8">
      <c r="A974" s="1">
        <v>973</v>
      </c>
      <c r="B974" t="str">
        <f t="shared" si="47"/>
        <v>Metro Corridor Extension</v>
      </c>
      <c r="C974" t="s">
        <v>6</v>
      </c>
      <c r="D974" s="2">
        <v>367157</v>
      </c>
      <c r="E974">
        <v>148</v>
      </c>
      <c r="F974" t="s">
        <v>13</v>
      </c>
      <c r="G974" s="2">
        <f t="shared" si="45"/>
        <v>422230.55</v>
      </c>
      <c r="H974" s="1">
        <f t="shared" si="46"/>
        <v>150</v>
      </c>
    </row>
    <row r="975" spans="1:8">
      <c r="A975" s="1">
        <v>974</v>
      </c>
      <c r="B975" t="str">
        <f t="shared" si="47"/>
        <v>Smart Grid Substation</v>
      </c>
      <c r="C975" t="s">
        <v>7</v>
      </c>
      <c r="D975" s="2">
        <v>195324</v>
      </c>
      <c r="E975">
        <v>140</v>
      </c>
      <c r="F975" t="s">
        <v>13</v>
      </c>
      <c r="G975" s="2">
        <f t="shared" si="45"/>
        <v>185557.8</v>
      </c>
      <c r="H975" s="1">
        <f t="shared" si="46"/>
        <v>142</v>
      </c>
    </row>
    <row r="976" spans="1:8">
      <c r="A976" s="1">
        <v>975</v>
      </c>
      <c r="B976" t="str">
        <f t="shared" si="47"/>
        <v>Elevated Flyover Construction</v>
      </c>
      <c r="C976" t="s">
        <v>8</v>
      </c>
      <c r="D976" s="2">
        <v>427924</v>
      </c>
      <c r="E976">
        <v>232</v>
      </c>
      <c r="F976" t="s">
        <v>14</v>
      </c>
      <c r="G976" s="2">
        <f t="shared" si="45"/>
        <v>406527.8</v>
      </c>
      <c r="H976" s="1">
        <f t="shared" si="46"/>
        <v>262</v>
      </c>
    </row>
    <row r="977" spans="1:8">
      <c r="A977" s="1">
        <v>976</v>
      </c>
      <c r="B977" t="str">
        <f t="shared" si="47"/>
        <v>Solar Power Plant Setup</v>
      </c>
      <c r="C977" t="s">
        <v>6</v>
      </c>
      <c r="D977" s="2">
        <v>416259</v>
      </c>
      <c r="E977">
        <v>232</v>
      </c>
      <c r="F977" t="s">
        <v>14</v>
      </c>
      <c r="G977" s="2">
        <f t="shared" si="45"/>
        <v>478697.85</v>
      </c>
      <c r="H977" s="1">
        <f t="shared" si="46"/>
        <v>262</v>
      </c>
    </row>
    <row r="978" spans="1:8">
      <c r="A978" s="1">
        <v>977</v>
      </c>
      <c r="B978" t="str">
        <f t="shared" si="47"/>
        <v>Water Treatment Pipeline</v>
      </c>
      <c r="C978" t="s">
        <v>4</v>
      </c>
      <c r="D978" s="2">
        <v>513345</v>
      </c>
      <c r="E978">
        <v>151</v>
      </c>
      <c r="F978" t="s">
        <v>14</v>
      </c>
      <c r="G978" s="2">
        <f t="shared" si="45"/>
        <v>487677.75</v>
      </c>
      <c r="H978" s="1">
        <f t="shared" si="46"/>
        <v>181</v>
      </c>
    </row>
    <row r="979" spans="1:8">
      <c r="A979" s="1">
        <v>978</v>
      </c>
      <c r="B979" t="str">
        <f t="shared" si="47"/>
        <v>National Highway Expansion</v>
      </c>
      <c r="C979" t="s">
        <v>4</v>
      </c>
      <c r="D979" s="2">
        <v>263853</v>
      </c>
      <c r="E979">
        <v>208</v>
      </c>
      <c r="F979" t="s">
        <v>13</v>
      </c>
      <c r="G979" s="2">
        <f t="shared" si="45"/>
        <v>250660.35</v>
      </c>
      <c r="H979" s="1">
        <f t="shared" si="46"/>
        <v>210</v>
      </c>
    </row>
    <row r="980" spans="1:8">
      <c r="A980" s="1">
        <v>979</v>
      </c>
      <c r="B980" t="str">
        <f t="shared" si="47"/>
        <v>Metro Corridor Extension</v>
      </c>
      <c r="C980" t="s">
        <v>5</v>
      </c>
      <c r="D980" s="2">
        <v>162600</v>
      </c>
      <c r="E980">
        <v>172</v>
      </c>
      <c r="F980" t="s">
        <v>13</v>
      </c>
      <c r="G980" s="2">
        <f t="shared" si="45"/>
        <v>154470</v>
      </c>
      <c r="H980" s="1">
        <f t="shared" si="46"/>
        <v>174</v>
      </c>
    </row>
    <row r="981" spans="1:8">
      <c r="A981" s="1">
        <v>980</v>
      </c>
      <c r="B981" t="str">
        <f t="shared" si="47"/>
        <v>Smart Grid Substation</v>
      </c>
      <c r="C981" t="s">
        <v>4</v>
      </c>
      <c r="D981" s="2">
        <v>618901</v>
      </c>
      <c r="E981">
        <v>221</v>
      </c>
      <c r="F981" t="s">
        <v>13</v>
      </c>
      <c r="G981" s="2">
        <f t="shared" si="45"/>
        <v>587955.95</v>
      </c>
      <c r="H981" s="1">
        <f t="shared" si="46"/>
        <v>223</v>
      </c>
    </row>
    <row r="982" spans="1:8">
      <c r="A982" s="1">
        <v>981</v>
      </c>
      <c r="B982" t="str">
        <f t="shared" si="47"/>
        <v>Elevated Flyover Construction</v>
      </c>
      <c r="C982" t="s">
        <v>7</v>
      </c>
      <c r="D982" s="2">
        <v>208987</v>
      </c>
      <c r="E982">
        <v>162</v>
      </c>
      <c r="F982" t="s">
        <v>13</v>
      </c>
      <c r="G982" s="2">
        <f t="shared" si="45"/>
        <v>198537.65</v>
      </c>
      <c r="H982" s="1">
        <f t="shared" si="46"/>
        <v>164</v>
      </c>
    </row>
    <row r="983" spans="1:8">
      <c r="A983" s="1">
        <v>982</v>
      </c>
      <c r="B983" t="str">
        <f t="shared" si="47"/>
        <v>Solar Power Plant Setup</v>
      </c>
      <c r="C983" t="s">
        <v>6</v>
      </c>
      <c r="D983" s="2">
        <v>403046</v>
      </c>
      <c r="E983">
        <v>232</v>
      </c>
      <c r="F983" t="s">
        <v>14</v>
      </c>
      <c r="G983" s="2">
        <f t="shared" si="45"/>
        <v>463502.9</v>
      </c>
      <c r="H983" s="1">
        <f t="shared" si="46"/>
        <v>262</v>
      </c>
    </row>
    <row r="984" spans="1:8">
      <c r="A984" s="1">
        <v>983</v>
      </c>
      <c r="B984" t="str">
        <f t="shared" si="47"/>
        <v>Water Treatment Pipeline</v>
      </c>
      <c r="C984" t="s">
        <v>6</v>
      </c>
      <c r="D984" s="2">
        <v>117103</v>
      </c>
      <c r="E984">
        <v>121</v>
      </c>
      <c r="F984" t="s">
        <v>14</v>
      </c>
      <c r="G984" s="2">
        <f t="shared" si="45"/>
        <v>134668.45</v>
      </c>
      <c r="H984" s="1">
        <f t="shared" si="46"/>
        <v>151</v>
      </c>
    </row>
    <row r="985" spans="1:8">
      <c r="A985" s="1">
        <v>984</v>
      </c>
      <c r="B985" t="str">
        <f t="shared" si="47"/>
        <v>National Highway Expansion</v>
      </c>
      <c r="C985" t="s">
        <v>8</v>
      </c>
      <c r="D985" s="2">
        <v>632812</v>
      </c>
      <c r="E985">
        <v>207</v>
      </c>
      <c r="F985" t="s">
        <v>14</v>
      </c>
      <c r="G985" s="2">
        <f t="shared" si="45"/>
        <v>601171.4</v>
      </c>
      <c r="H985" s="1">
        <f t="shared" si="46"/>
        <v>237</v>
      </c>
    </row>
    <row r="986" spans="1:8">
      <c r="A986" s="1">
        <v>985</v>
      </c>
      <c r="B986" t="str">
        <f t="shared" si="47"/>
        <v>Metro Corridor Extension</v>
      </c>
      <c r="C986" t="s">
        <v>6</v>
      </c>
      <c r="D986" s="2">
        <v>591737</v>
      </c>
      <c r="E986">
        <v>165</v>
      </c>
      <c r="F986" t="s">
        <v>13</v>
      </c>
      <c r="G986" s="2">
        <f t="shared" si="45"/>
        <v>680497.55</v>
      </c>
      <c r="H986" s="1">
        <f t="shared" si="46"/>
        <v>167</v>
      </c>
    </row>
    <row r="987" spans="1:8">
      <c r="A987" s="1">
        <v>986</v>
      </c>
      <c r="B987" t="str">
        <f t="shared" si="47"/>
        <v>Smart Grid Substation</v>
      </c>
      <c r="C987" t="s">
        <v>4</v>
      </c>
      <c r="D987" s="2">
        <v>631085</v>
      </c>
      <c r="E987">
        <v>114</v>
      </c>
      <c r="F987" t="s">
        <v>14</v>
      </c>
      <c r="G987" s="2">
        <f t="shared" si="45"/>
        <v>599530.75</v>
      </c>
      <c r="H987" s="1">
        <f t="shared" si="46"/>
        <v>144</v>
      </c>
    </row>
    <row r="988" spans="1:8">
      <c r="A988" s="1">
        <v>987</v>
      </c>
      <c r="B988" t="str">
        <f t="shared" si="47"/>
        <v>Elevated Flyover Construction</v>
      </c>
      <c r="C988" t="s">
        <v>6</v>
      </c>
      <c r="D988" s="2">
        <v>309744</v>
      </c>
      <c r="E988">
        <v>229</v>
      </c>
      <c r="F988" t="s">
        <v>13</v>
      </c>
      <c r="G988" s="2">
        <f t="shared" si="45"/>
        <v>356205.6</v>
      </c>
      <c r="H988" s="1">
        <f t="shared" si="46"/>
        <v>231</v>
      </c>
    </row>
    <row r="989" spans="1:8">
      <c r="A989" s="1">
        <v>988</v>
      </c>
      <c r="B989" t="str">
        <f t="shared" si="47"/>
        <v>Solar Power Plant Setup</v>
      </c>
      <c r="C989" t="s">
        <v>7</v>
      </c>
      <c r="D989" s="2">
        <v>563987</v>
      </c>
      <c r="E989">
        <v>233</v>
      </c>
      <c r="F989" t="s">
        <v>13</v>
      </c>
      <c r="G989" s="2">
        <f t="shared" si="45"/>
        <v>535787.65</v>
      </c>
      <c r="H989" s="1">
        <f t="shared" si="46"/>
        <v>235</v>
      </c>
    </row>
    <row r="990" spans="1:8">
      <c r="A990" s="1">
        <v>989</v>
      </c>
      <c r="B990" t="str">
        <f t="shared" si="47"/>
        <v>Water Treatment Pipeline</v>
      </c>
      <c r="C990" t="s">
        <v>4</v>
      </c>
      <c r="D990" s="2">
        <v>583571</v>
      </c>
      <c r="E990">
        <v>238</v>
      </c>
      <c r="F990" t="s">
        <v>14</v>
      </c>
      <c r="G990" s="2">
        <f t="shared" si="45"/>
        <v>554392.45</v>
      </c>
      <c r="H990" s="1">
        <f t="shared" si="46"/>
        <v>268</v>
      </c>
    </row>
    <row r="991" spans="1:8">
      <c r="A991" s="1">
        <v>990</v>
      </c>
      <c r="B991" t="str">
        <f t="shared" si="47"/>
        <v>National Highway Expansion</v>
      </c>
      <c r="C991" t="s">
        <v>7</v>
      </c>
      <c r="D991" s="2">
        <v>373058</v>
      </c>
      <c r="E991">
        <v>94</v>
      </c>
      <c r="F991" t="s">
        <v>13</v>
      </c>
      <c r="G991" s="2">
        <f t="shared" si="45"/>
        <v>354405.1</v>
      </c>
      <c r="H991" s="1">
        <f t="shared" si="46"/>
        <v>96</v>
      </c>
    </row>
    <row r="992" spans="1:8">
      <c r="A992" s="1">
        <v>991</v>
      </c>
      <c r="B992" t="str">
        <f t="shared" si="47"/>
        <v>Metro Corridor Extension</v>
      </c>
      <c r="C992" t="s">
        <v>5</v>
      </c>
      <c r="D992" s="2">
        <v>357581</v>
      </c>
      <c r="E992">
        <v>120</v>
      </c>
      <c r="F992" t="s">
        <v>14</v>
      </c>
      <c r="G992" s="2">
        <f t="shared" si="45"/>
        <v>339701.95</v>
      </c>
      <c r="H992" s="1">
        <f t="shared" si="46"/>
        <v>150</v>
      </c>
    </row>
    <row r="993" spans="1:8">
      <c r="A993" s="1">
        <v>992</v>
      </c>
      <c r="B993" t="str">
        <f t="shared" si="47"/>
        <v>Smart Grid Substation</v>
      </c>
      <c r="C993" t="s">
        <v>8</v>
      </c>
      <c r="D993" s="2">
        <v>268541</v>
      </c>
      <c r="E993">
        <v>108</v>
      </c>
      <c r="F993" t="s">
        <v>14</v>
      </c>
      <c r="G993" s="2">
        <f t="shared" si="45"/>
        <v>255113.95</v>
      </c>
      <c r="H993" s="1">
        <f t="shared" si="46"/>
        <v>138</v>
      </c>
    </row>
    <row r="994" spans="1:8">
      <c r="A994" s="1">
        <v>993</v>
      </c>
      <c r="B994" t="str">
        <f t="shared" si="47"/>
        <v>Elevated Flyover Construction</v>
      </c>
      <c r="C994" t="s">
        <v>4</v>
      </c>
      <c r="D994" s="2">
        <v>874442</v>
      </c>
      <c r="E994">
        <v>94</v>
      </c>
      <c r="F994" t="s">
        <v>13</v>
      </c>
      <c r="G994" s="2">
        <f t="shared" si="45"/>
        <v>830719.9</v>
      </c>
      <c r="H994" s="1">
        <f t="shared" si="46"/>
        <v>96</v>
      </c>
    </row>
    <row r="995" spans="1:8">
      <c r="A995" s="1">
        <v>994</v>
      </c>
      <c r="B995" t="str">
        <f t="shared" si="47"/>
        <v>Solar Power Plant Setup</v>
      </c>
      <c r="C995" t="s">
        <v>8</v>
      </c>
      <c r="D995" s="2">
        <v>238570</v>
      </c>
      <c r="E995">
        <v>135</v>
      </c>
      <c r="F995" t="s">
        <v>14</v>
      </c>
      <c r="G995" s="2">
        <f t="shared" si="45"/>
        <v>226641.5</v>
      </c>
      <c r="H995" s="1">
        <f t="shared" si="46"/>
        <v>165</v>
      </c>
    </row>
    <row r="996" spans="1:8">
      <c r="A996" s="1">
        <v>995</v>
      </c>
      <c r="B996" t="str">
        <f t="shared" si="47"/>
        <v>Water Treatment Pipeline</v>
      </c>
      <c r="C996" t="s">
        <v>7</v>
      </c>
      <c r="D996" s="2">
        <v>256562</v>
      </c>
      <c r="E996">
        <v>189</v>
      </c>
      <c r="F996" t="s">
        <v>13</v>
      </c>
      <c r="G996" s="2">
        <f t="shared" si="45"/>
        <v>243733.9</v>
      </c>
      <c r="H996" s="1">
        <f t="shared" si="46"/>
        <v>191</v>
      </c>
    </row>
    <row r="997" spans="1:8">
      <c r="A997" s="1">
        <v>996</v>
      </c>
      <c r="B997" t="str">
        <f t="shared" si="47"/>
        <v>National Highway Expansion</v>
      </c>
      <c r="C997" t="s">
        <v>8</v>
      </c>
      <c r="D997" s="2">
        <v>557259</v>
      </c>
      <c r="E997">
        <v>202</v>
      </c>
      <c r="F997" t="s">
        <v>14</v>
      </c>
      <c r="G997" s="2">
        <f t="shared" si="45"/>
        <v>529396.05</v>
      </c>
      <c r="H997" s="1">
        <f t="shared" si="46"/>
        <v>232</v>
      </c>
    </row>
    <row r="998" spans="1:8">
      <c r="A998" s="1">
        <v>997</v>
      </c>
      <c r="B998" t="str">
        <f t="shared" si="47"/>
        <v>Metro Corridor Extension</v>
      </c>
      <c r="C998" t="s">
        <v>7</v>
      </c>
      <c r="D998" s="2">
        <v>450860</v>
      </c>
      <c r="E998">
        <v>176</v>
      </c>
      <c r="F998" t="s">
        <v>14</v>
      </c>
      <c r="G998" s="2">
        <f t="shared" si="45"/>
        <v>428317</v>
      </c>
      <c r="H998" s="1">
        <f t="shared" si="46"/>
        <v>206</v>
      </c>
    </row>
    <row r="999" spans="1:8">
      <c r="A999" s="1">
        <v>998</v>
      </c>
      <c r="B999" t="str">
        <f t="shared" si="47"/>
        <v>Smart Grid Substation</v>
      </c>
      <c r="C999" t="s">
        <v>8</v>
      </c>
      <c r="D999" s="2">
        <v>411363</v>
      </c>
      <c r="E999">
        <v>174</v>
      </c>
      <c r="F999" t="s">
        <v>14</v>
      </c>
      <c r="G999" s="2">
        <f t="shared" si="45"/>
        <v>390794.85</v>
      </c>
      <c r="H999" s="1">
        <f t="shared" si="46"/>
        <v>204</v>
      </c>
    </row>
    <row r="1000" spans="1:8">
      <c r="A1000" s="1">
        <v>999</v>
      </c>
      <c r="B1000" t="str">
        <f t="shared" si="47"/>
        <v>Elevated Flyover Construction</v>
      </c>
      <c r="C1000" t="s">
        <v>8</v>
      </c>
      <c r="D1000" s="2">
        <v>338850</v>
      </c>
      <c r="E1000">
        <v>239</v>
      </c>
      <c r="F1000" t="s">
        <v>13</v>
      </c>
      <c r="G1000" s="2">
        <f t="shared" si="45"/>
        <v>321907.5</v>
      </c>
      <c r="H1000" s="1">
        <f t="shared" si="46"/>
        <v>241</v>
      </c>
    </row>
    <row r="1001" spans="1:8">
      <c r="A1001" s="1">
        <v>1000</v>
      </c>
      <c r="B1001" t="str">
        <f t="shared" si="47"/>
        <v>Solar Power Plant Setup</v>
      </c>
      <c r="C1001" t="s">
        <v>8</v>
      </c>
      <c r="D1001" s="2">
        <v>345094</v>
      </c>
      <c r="E1001">
        <v>141</v>
      </c>
      <c r="F1001" t="s">
        <v>14</v>
      </c>
      <c r="G1001" s="2">
        <f t="shared" si="45"/>
        <v>327839.3</v>
      </c>
      <c r="H1001" s="1">
        <f t="shared" si="46"/>
        <v>171</v>
      </c>
    </row>
  </sheetData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Pivot1</vt:lpstr>
      <vt:lpstr>Pivot2</vt:lpstr>
      <vt:lpstr>Pivot3</vt:lpstr>
      <vt:lpstr>Pivot4</vt:lpstr>
      <vt:lpstr>MOCK_DATA (1)_LZitlc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Parashar</cp:lastModifiedBy>
  <dcterms:created xsi:type="dcterms:W3CDTF">2026-07-02T14:01:19Z</dcterms:created>
  <dcterms:modified xsi:type="dcterms:W3CDTF">2026-07-02T14:56:07Z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2057-12.2.0.23203</vt:lpwstr>
  </property>
  <property fmtid="{D5CDD505-2E9C-101B-9397-08002B2CF9AE}" pid="3" name="ICV">
    <vt:lpwstr>3A3CDAEDEC5F4EADB508599654C30AE1_13</vt:lpwstr>
  </property>
</Properties>
</file>